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7610" firstSheet="8" activeTab="16"/>
  </bookViews>
  <sheets>
    <sheet name="March 25" sheetId="1" r:id="rId1"/>
    <sheet name="April 25" sheetId="2" r:id="rId2"/>
    <sheet name="May 25" sheetId="3" r:id="rId3"/>
    <sheet name="June 25" sheetId="4" r:id="rId4"/>
    <sheet name="July 2025" sheetId="5" r:id="rId5"/>
    <sheet name="Aug 25" sheetId="6" r:id="rId6"/>
    <sheet name="Sep 25" sheetId="7" r:id="rId7"/>
    <sheet name="Oct 25" sheetId="9" r:id="rId8"/>
    <sheet name="Nov 25" sheetId="10" r:id="rId9"/>
    <sheet name="dec 25" sheetId="11" r:id="rId10"/>
    <sheet name="Jan 2026" sheetId="12" r:id="rId11"/>
    <sheet name="Feb 26" sheetId="13" r:id="rId12"/>
    <sheet name="Mar 26" sheetId="17" r:id="rId13"/>
    <sheet name="April26" sheetId="18" r:id="rId14"/>
    <sheet name="MAY26" sheetId="20" r:id="rId15"/>
    <sheet name="June 26" sheetId="21" r:id="rId16"/>
    <sheet name="July 26" sheetId="22" r:id="rId17"/>
    <sheet name="IN-OUT" sheetId="16" r:id="rId18"/>
    <sheet name="Payment" sheetId="19" r:id="rId19"/>
  </sheets>
  <definedNames>
    <definedName name="_xlnm._FilterDatabase" localSheetId="13" hidden="1">April26!$A$1:$P$67</definedName>
    <definedName name="_xlnm._FilterDatabase" localSheetId="11" hidden="1">'Feb 26'!$A$1:$M$76</definedName>
    <definedName name="_xlnm._FilterDatabase" localSheetId="17" hidden="1">'IN-OUT'!$A$1:$N$138</definedName>
    <definedName name="_xlnm._FilterDatabase" localSheetId="10" hidden="1">'Jan 2026'!$A$1:$J$71</definedName>
    <definedName name="_xlnm._FilterDatabase" localSheetId="16" hidden="1">'July 26'!$A$1:$AA$107</definedName>
    <definedName name="_xlnm._FilterDatabase" localSheetId="15" hidden="1">'June 26'!$A$1:$Z$130</definedName>
    <definedName name="_xlnm._FilterDatabase" localSheetId="12" hidden="1">'Mar 26'!$A$1:$P$87</definedName>
    <definedName name="_xlnm._FilterDatabase" localSheetId="14" hidden="1">'MAY26'!$A$1:$P$80</definedName>
    <definedName name="_xlnm._FilterDatabase" localSheetId="18" hidden="1">Payment!$A$1:$G$42</definedName>
  </definedNames>
  <calcPr calcId="144525"/>
</workbook>
</file>

<file path=xl/calcChain.xml><?xml version="1.0" encoding="utf-8"?>
<calcChain xmlns="http://schemas.openxmlformats.org/spreadsheetml/2006/main">
  <c r="G16" i="22" l="1"/>
  <c r="G5" i="21"/>
  <c r="E106" i="22" l="1"/>
  <c r="E101" i="22"/>
  <c r="O100" i="22"/>
  <c r="P100" i="22" s="1"/>
  <c r="O97" i="22"/>
  <c r="P97" i="22" s="1"/>
  <c r="O94" i="22"/>
  <c r="P94" i="22" s="1"/>
  <c r="E93" i="22"/>
  <c r="O93" i="22" s="1"/>
  <c r="P93" i="22" s="1"/>
  <c r="O92" i="22"/>
  <c r="P92" i="22" s="1"/>
  <c r="O91" i="22"/>
  <c r="P91" i="22" s="1"/>
  <c r="O90" i="22"/>
  <c r="P90" i="22" s="1"/>
  <c r="O89" i="22"/>
  <c r="P89" i="22" s="1"/>
  <c r="O88" i="22"/>
  <c r="P88" i="22" s="1"/>
  <c r="O87" i="22"/>
  <c r="P87" i="22" s="1"/>
  <c r="O86" i="22"/>
  <c r="P86" i="22" s="1"/>
  <c r="O85" i="22"/>
  <c r="P85" i="22" s="1"/>
  <c r="O84" i="22"/>
  <c r="P84" i="22" s="1"/>
  <c r="O83" i="22"/>
  <c r="P83" i="22" s="1"/>
  <c r="O82" i="22"/>
  <c r="P82" i="22" s="1"/>
  <c r="O81" i="22"/>
  <c r="P81" i="22" s="1"/>
  <c r="O80" i="22"/>
  <c r="P80" i="22" s="1"/>
  <c r="O79" i="22"/>
  <c r="P79" i="22" s="1"/>
  <c r="O78" i="22"/>
  <c r="P78" i="22" s="1"/>
  <c r="O77" i="22"/>
  <c r="P77" i="22" s="1"/>
  <c r="E56" i="22"/>
  <c r="E27" i="22"/>
  <c r="G21" i="21" l="1"/>
  <c r="E129" i="21" l="1"/>
  <c r="E30" i="21" l="1"/>
  <c r="E73" i="21" l="1"/>
  <c r="G2" i="21" l="1"/>
  <c r="D16" i="21" l="1"/>
  <c r="D5" i="21"/>
  <c r="D26" i="21" l="1"/>
  <c r="D2" i="21" l="1"/>
  <c r="E124" i="21"/>
  <c r="N101" i="21"/>
  <c r="O101" i="21" s="1"/>
  <c r="N123" i="21"/>
  <c r="O123" i="21" s="1"/>
  <c r="N120" i="21"/>
  <c r="O120" i="21" s="1"/>
  <c r="N116" i="21"/>
  <c r="O116" i="21" s="1"/>
  <c r="E115" i="21"/>
  <c r="N115" i="21" s="1"/>
  <c r="O115" i="21" s="1"/>
  <c r="N114" i="21"/>
  <c r="O114" i="21" s="1"/>
  <c r="N113" i="21"/>
  <c r="O113" i="21" s="1"/>
  <c r="N112" i="21"/>
  <c r="O112" i="21" s="1"/>
  <c r="N111" i="21"/>
  <c r="O111" i="21" s="1"/>
  <c r="N110" i="21"/>
  <c r="O110" i="21" s="1"/>
  <c r="N109" i="21"/>
  <c r="O109" i="21" s="1"/>
  <c r="N108" i="21"/>
  <c r="O108" i="21" s="1"/>
  <c r="N107" i="21"/>
  <c r="O107" i="21" s="1"/>
  <c r="N106" i="21"/>
  <c r="O106" i="21" s="1"/>
  <c r="N105" i="21"/>
  <c r="O105" i="21" s="1"/>
  <c r="N104" i="21"/>
  <c r="O104" i="21" s="1"/>
  <c r="N103" i="21"/>
  <c r="O103" i="21" s="1"/>
  <c r="N102" i="21"/>
  <c r="O102" i="21" s="1"/>
  <c r="N100" i="21"/>
  <c r="O100" i="21" s="1"/>
  <c r="N99" i="21"/>
  <c r="O99" i="21" s="1"/>
  <c r="E99" i="20" l="1"/>
  <c r="E108" i="20"/>
  <c r="D17" i="20" l="1"/>
  <c r="N89" i="20" l="1"/>
  <c r="O89" i="20" s="1"/>
  <c r="E91" i="20"/>
  <c r="N107" i="20"/>
  <c r="O107" i="20" s="1"/>
  <c r="N106" i="20"/>
  <c r="O106" i="20" s="1"/>
  <c r="N104" i="20"/>
  <c r="O104" i="20" s="1"/>
  <c r="N100" i="20"/>
  <c r="O100" i="20" s="1"/>
  <c r="N98" i="20"/>
  <c r="O98" i="20" s="1"/>
  <c r="N97" i="20"/>
  <c r="O97" i="20" s="1"/>
  <c r="N96" i="20"/>
  <c r="O96" i="20" s="1"/>
  <c r="N95" i="20"/>
  <c r="O95" i="20" s="1"/>
  <c r="N94" i="20"/>
  <c r="O94" i="20" s="1"/>
  <c r="N93" i="20"/>
  <c r="O93" i="20" s="1"/>
  <c r="N92" i="20"/>
  <c r="O92" i="20" s="1"/>
  <c r="N90" i="20"/>
  <c r="O90" i="20" s="1"/>
  <c r="N88" i="20"/>
  <c r="O88" i="20" s="1"/>
  <c r="N87" i="20"/>
  <c r="O87" i="20" s="1"/>
  <c r="N86" i="20"/>
  <c r="O86" i="20" s="1"/>
  <c r="N85" i="20"/>
  <c r="O85" i="20" s="1"/>
  <c r="N84" i="20"/>
  <c r="O84" i="20" s="1"/>
  <c r="N99" i="20" l="1"/>
  <c r="O99" i="20" s="1"/>
  <c r="N91" i="20"/>
  <c r="O91" i="20" s="1"/>
  <c r="E85" i="18"/>
  <c r="E94" i="18" l="1"/>
  <c r="D16" i="18" l="1"/>
  <c r="N95" i="18"/>
  <c r="O95" i="18" s="1"/>
  <c r="N94" i="18"/>
  <c r="O94" i="18" s="1"/>
  <c r="N92" i="18"/>
  <c r="O92" i="18" s="1"/>
  <c r="N91" i="18"/>
  <c r="O91" i="18" s="1"/>
  <c r="N90" i="18"/>
  <c r="O90" i="18" s="1"/>
  <c r="N86" i="18"/>
  <c r="O86" i="18" s="1"/>
  <c r="N85" i="18"/>
  <c r="O85" i="18" s="1"/>
  <c r="N84" i="18"/>
  <c r="O84" i="18" s="1"/>
  <c r="N83" i="18"/>
  <c r="O83" i="18" s="1"/>
  <c r="N82" i="18"/>
  <c r="O82" i="18" s="1"/>
  <c r="N81" i="18"/>
  <c r="O81" i="18" s="1"/>
  <c r="N80" i="18"/>
  <c r="O80" i="18" s="1"/>
  <c r="N79" i="18"/>
  <c r="O79" i="18" s="1"/>
  <c r="N78" i="18"/>
  <c r="O78" i="18" s="1"/>
  <c r="N76" i="18"/>
  <c r="O76" i="18" s="1"/>
  <c r="N75" i="18"/>
  <c r="O75" i="18" s="1"/>
  <c r="N74" i="18"/>
  <c r="O74" i="18" s="1"/>
  <c r="N73" i="18"/>
  <c r="O73" i="18" s="1"/>
  <c r="N72" i="18"/>
  <c r="O72" i="18" s="1"/>
  <c r="N71" i="18"/>
  <c r="O71" i="18" s="1"/>
  <c r="N101" i="17" l="1"/>
  <c r="O101" i="17" s="1"/>
  <c r="I56" i="17" l="1"/>
  <c r="N100" i="17" l="1"/>
  <c r="O100" i="17" s="1"/>
  <c r="N99" i="17"/>
  <c r="O99" i="17" s="1"/>
  <c r="G93" i="17" l="1"/>
  <c r="N93" i="17" l="1"/>
  <c r="O93" i="17" s="1"/>
  <c r="N117" i="17" l="1"/>
  <c r="O117" i="17" s="1"/>
  <c r="N116" i="17"/>
  <c r="O116" i="17" s="1"/>
  <c r="N115" i="17"/>
  <c r="O115" i="17" s="1"/>
  <c r="N114" i="17"/>
  <c r="O114" i="17" s="1"/>
  <c r="N113" i="17"/>
  <c r="O113" i="17" s="1"/>
  <c r="N109" i="17"/>
  <c r="O109" i="17" s="1"/>
  <c r="N108" i="17"/>
  <c r="O108" i="17" s="1"/>
  <c r="N107" i="17"/>
  <c r="O107" i="17" s="1"/>
  <c r="N106" i="17"/>
  <c r="O106" i="17" s="1"/>
  <c r="N105" i="17"/>
  <c r="O105" i="17" s="1"/>
  <c r="N104" i="17"/>
  <c r="O104" i="17" s="1"/>
  <c r="N103" i="17"/>
  <c r="O103" i="17" s="1"/>
  <c r="N95" i="17"/>
  <c r="O95" i="17" s="1"/>
  <c r="N102" i="17"/>
  <c r="O102" i="17" s="1"/>
  <c r="N98" i="17"/>
  <c r="O98" i="17" s="1"/>
  <c r="N97" i="17"/>
  <c r="O97" i="17" s="1"/>
  <c r="N96" i="17"/>
  <c r="O96" i="17" s="1"/>
  <c r="N94" i="17"/>
  <c r="O94" i="17" s="1"/>
  <c r="N92" i="17"/>
  <c r="O92" i="17" s="1"/>
  <c r="N91" i="17"/>
  <c r="O91" i="17" s="1"/>
  <c r="G87" i="13" l="1"/>
  <c r="H87" i="13"/>
  <c r="G88" i="13"/>
  <c r="H88" i="13" s="1"/>
  <c r="G89" i="13"/>
  <c r="H89" i="13" s="1"/>
  <c r="G90" i="13"/>
  <c r="H90" i="13" s="1"/>
  <c r="G91" i="13"/>
  <c r="H91" i="13"/>
  <c r="G92" i="13"/>
  <c r="H92" i="13" s="1"/>
  <c r="G93" i="13"/>
  <c r="H93" i="13"/>
  <c r="G94" i="13"/>
  <c r="H94" i="13" s="1"/>
  <c r="G95" i="13"/>
  <c r="H95" i="13"/>
  <c r="G96" i="13"/>
  <c r="H96" i="13" s="1"/>
  <c r="G97" i="13"/>
  <c r="H97" i="13" s="1"/>
  <c r="G98" i="13"/>
  <c r="H98" i="13" s="1"/>
  <c r="G99" i="13"/>
  <c r="H99" i="13"/>
  <c r="G100" i="13"/>
  <c r="H100" i="13" s="1"/>
  <c r="G101" i="13"/>
  <c r="H101" i="13"/>
  <c r="G102" i="13"/>
  <c r="H102" i="13" s="1"/>
  <c r="G103" i="13"/>
  <c r="H103" i="13"/>
  <c r="G104" i="13"/>
  <c r="H104" i="13" s="1"/>
  <c r="G105" i="13"/>
  <c r="H105" i="13" s="1"/>
  <c r="G106" i="13"/>
  <c r="H106" i="13" s="1"/>
  <c r="G107" i="13"/>
  <c r="H107" i="13"/>
  <c r="G108" i="13"/>
  <c r="H108" i="13" s="1"/>
  <c r="G109" i="13"/>
  <c r="H109" i="13"/>
  <c r="G110" i="13"/>
  <c r="H110" i="13" s="1"/>
  <c r="G111" i="13"/>
  <c r="H111" i="13"/>
</calcChain>
</file>

<file path=xl/sharedStrings.xml><?xml version="1.0" encoding="utf-8"?>
<sst xmlns="http://schemas.openxmlformats.org/spreadsheetml/2006/main" count="5889" uniqueCount="1773">
  <si>
    <t>EMS</t>
  </si>
  <si>
    <t>14.03.25</t>
  </si>
  <si>
    <t>Suresh</t>
  </si>
  <si>
    <t xml:space="preserve">feb payment  </t>
  </si>
  <si>
    <t>Malini GRE</t>
  </si>
  <si>
    <t>05.03.25</t>
  </si>
  <si>
    <t>closed</t>
  </si>
  <si>
    <t>Contango</t>
  </si>
  <si>
    <t>12.03.25</t>
  </si>
  <si>
    <t>Selvi</t>
  </si>
  <si>
    <t>feb payment  by Pradhan</t>
  </si>
  <si>
    <t>Valasaravakkam  sailex</t>
  </si>
  <si>
    <t>21.03.25</t>
  </si>
  <si>
    <t>Nalini Royapettah  ( lap)</t>
  </si>
  <si>
    <t>Sakku Abraham ( Choolaimedu)</t>
  </si>
  <si>
    <t>25.02.25</t>
  </si>
  <si>
    <t>Mam</t>
  </si>
  <si>
    <t>Sakthi Arumbakkam( girl)</t>
  </si>
  <si>
    <t>Vinothkumar, Villivakkam</t>
  </si>
  <si>
    <t>22.03.25</t>
  </si>
  <si>
    <t>suresh</t>
  </si>
  <si>
    <t>Sivakumar ( Thiruvattriyur)</t>
  </si>
  <si>
    <t>Cash</t>
  </si>
  <si>
    <t>08.04.25</t>
  </si>
  <si>
    <t>YMCA</t>
  </si>
  <si>
    <t>Gpay Tharani</t>
  </si>
  <si>
    <t>Desktop sales to Rhymes</t>
  </si>
  <si>
    <t>09.04.25</t>
  </si>
  <si>
    <t>21.04.25</t>
  </si>
  <si>
    <t>25.03.25</t>
  </si>
  <si>
    <t>Gpay</t>
  </si>
  <si>
    <t>Invoice</t>
  </si>
  <si>
    <t>18.04.25</t>
  </si>
  <si>
    <t xml:space="preserve">Pradhan sir </t>
  </si>
  <si>
    <t>Aravind Willson (Projector)</t>
  </si>
  <si>
    <t>Divya (Kolathur)</t>
  </si>
  <si>
    <t>Jayaramesh  ( Madipakkam)</t>
  </si>
  <si>
    <t>Vinothkumar, (Villivakkam)</t>
  </si>
  <si>
    <t>Sailex (Valasaravakkam )</t>
  </si>
  <si>
    <t>Bharath ( Thirumangalam)</t>
  </si>
  <si>
    <t>03.04.25</t>
  </si>
  <si>
    <t>16.04.25</t>
  </si>
  <si>
    <t>Suresh sir</t>
  </si>
  <si>
    <t>Sathish ( Velacherry)</t>
  </si>
  <si>
    <t>15.04.25</t>
  </si>
  <si>
    <t>Murphy Vignesh ( Ayyapakkam)</t>
  </si>
  <si>
    <t>11.03.25</t>
  </si>
  <si>
    <t>Dharani</t>
  </si>
  <si>
    <t>10.03.25</t>
  </si>
  <si>
    <t>Keerthana Korattur</t>
  </si>
  <si>
    <t>24.04.25</t>
  </si>
  <si>
    <t>Pradhan</t>
  </si>
  <si>
    <t>Aravind ( Illyas)projector ( Laptop)</t>
  </si>
  <si>
    <t>26.04.25</t>
  </si>
  <si>
    <t>Pradhan to Mam</t>
  </si>
  <si>
    <t>28.04.25</t>
  </si>
  <si>
    <t>March &amp; April Payments</t>
  </si>
  <si>
    <t>Kamal Manohar (Jamaliya)</t>
  </si>
  <si>
    <t>28.04.05</t>
  </si>
  <si>
    <t>Suresh Sir</t>
  </si>
  <si>
    <t>Suxus</t>
  </si>
  <si>
    <t>22.04.25</t>
  </si>
  <si>
    <t>cash to mam</t>
  </si>
  <si>
    <t>March Payment</t>
  </si>
  <si>
    <t>29.04.25</t>
  </si>
  <si>
    <t>March payment</t>
  </si>
  <si>
    <t>INVOICE PAYMENT</t>
  </si>
  <si>
    <t>Fedrus Technology ( Vivek Balaram)</t>
  </si>
  <si>
    <t>02.05.25</t>
  </si>
  <si>
    <t>GST</t>
  </si>
  <si>
    <t>Rhythm</t>
  </si>
  <si>
    <t>April Payment</t>
  </si>
  <si>
    <t>May payment</t>
  </si>
  <si>
    <t>03.05.25</t>
  </si>
  <si>
    <t>closed on 4.5.25 on Sunday to Pradhan</t>
  </si>
  <si>
    <t>05.05.25</t>
  </si>
  <si>
    <t>Vivek Balaram  ( Fedrus Technology)</t>
  </si>
  <si>
    <t>Imman</t>
  </si>
  <si>
    <t>Kun Aero Space</t>
  </si>
  <si>
    <t xml:space="preserve">Pradhan to Mam </t>
  </si>
  <si>
    <t>INVOICE</t>
  </si>
  <si>
    <t>DATE</t>
  </si>
  <si>
    <t>INVOICE NO</t>
  </si>
  <si>
    <t>SUB. TOTAL</t>
  </si>
  <si>
    <t>TOTAL</t>
  </si>
  <si>
    <t>PAID DATE</t>
  </si>
  <si>
    <t>PAID AMOUNT</t>
  </si>
  <si>
    <t>26.04.24</t>
  </si>
  <si>
    <t xml:space="preserve">DATE </t>
  </si>
  <si>
    <t>SUB TOTAL</t>
  </si>
  <si>
    <t>PiD AMOUNT</t>
  </si>
  <si>
    <t>17.04.25</t>
  </si>
  <si>
    <t>Alex Praveen Raj ( Choolaimedu)</t>
  </si>
  <si>
    <t>06.05.25</t>
  </si>
  <si>
    <t>Karthick ( Choolaimedu) Monitor</t>
  </si>
  <si>
    <t>Courier</t>
  </si>
  <si>
    <t>Jacob Auxilian ( Ambattur)</t>
  </si>
  <si>
    <t>work station</t>
  </si>
  <si>
    <t>Keerthana (Korattur)</t>
  </si>
  <si>
    <t>Rashee Cares ( Pallikaranai)</t>
  </si>
  <si>
    <t>Contango ( Sky walk)</t>
  </si>
  <si>
    <t>EMS ( Koyembedu)</t>
  </si>
  <si>
    <t>Rashee Cares  (9363637575)</t>
  </si>
  <si>
    <t>19.05.25</t>
  </si>
  <si>
    <t>April &amp; May payment</t>
  </si>
  <si>
    <t xml:space="preserve">closed </t>
  </si>
  <si>
    <t>16.05.25</t>
  </si>
  <si>
    <t>12.05.25</t>
  </si>
  <si>
    <t>11.05.25</t>
  </si>
  <si>
    <t>Fearless Events  ( ITC Chola)</t>
  </si>
  <si>
    <t>Jeevitha  ( Ambattur)</t>
  </si>
  <si>
    <t>14.05.25</t>
  </si>
  <si>
    <t>PPMS ( Senthil Nagar)</t>
  </si>
  <si>
    <t>Brand Hungers ( Vinayagapuram)</t>
  </si>
  <si>
    <t>Kun Aero Laptop amount</t>
  </si>
  <si>
    <t>Kun personal CPU</t>
  </si>
  <si>
    <t>22.05.25</t>
  </si>
  <si>
    <t>26.05.25</t>
  </si>
  <si>
    <t>Matric Towers  ( Nambal)</t>
  </si>
  <si>
    <t>Markets of 1  ( Little Mt)</t>
  </si>
  <si>
    <t>Hikal ( Bangalore)</t>
  </si>
  <si>
    <t>20.05.25</t>
  </si>
  <si>
    <t>Rank Project ( Little Mt)</t>
  </si>
  <si>
    <t>closed on 26.05.25</t>
  </si>
  <si>
    <t>27.05.25</t>
  </si>
  <si>
    <t>K. Priya ( Choolaimedu)</t>
  </si>
  <si>
    <t>29.05.25</t>
  </si>
  <si>
    <t>Tamilarasan ( Meenambakkam)</t>
  </si>
  <si>
    <t>30.05.25</t>
  </si>
  <si>
    <t>31.05.25</t>
  </si>
  <si>
    <t>02.06.25</t>
  </si>
  <si>
    <t>02.06.25 taken</t>
  </si>
  <si>
    <t>Aravind . U ( Kolathur)</t>
  </si>
  <si>
    <t>reduce 750</t>
  </si>
  <si>
    <t>05.06.25</t>
  </si>
  <si>
    <t>Lakshman Kumar (Konditop)</t>
  </si>
  <si>
    <t>21.05.25</t>
  </si>
  <si>
    <t xml:space="preserve">closed    </t>
  </si>
  <si>
    <t>09.06.25</t>
  </si>
  <si>
    <t>dharani</t>
  </si>
  <si>
    <t>11.06.25</t>
  </si>
  <si>
    <t>Rank Project ( Little Mt)  D.Senthil</t>
  </si>
  <si>
    <t>Madras Accountanct PVT LTD</t>
  </si>
  <si>
    <t xml:space="preserve">Madras Accountanct </t>
  </si>
  <si>
    <t>Madras Accountancy</t>
  </si>
  <si>
    <t>04.06.25</t>
  </si>
  <si>
    <t>OTTO</t>
  </si>
  <si>
    <t>KS Association</t>
  </si>
  <si>
    <t>Vistawh Land Holdings</t>
  </si>
  <si>
    <t>Dr. Aadharsh Prasana( lady) Korattur)</t>
  </si>
  <si>
    <t>12.06.25</t>
  </si>
  <si>
    <t>Times Med</t>
  </si>
  <si>
    <t>13.06.25</t>
  </si>
  <si>
    <t>16.06.25</t>
  </si>
  <si>
    <t>15.06.25</t>
  </si>
  <si>
    <t>May &amp; June payment</t>
  </si>
  <si>
    <t>April, May &amp; June payment</t>
  </si>
  <si>
    <t>pradhan</t>
  </si>
  <si>
    <t>17.06.25</t>
  </si>
  <si>
    <t>1 laptop returned</t>
  </si>
  <si>
    <t>Shenbaganathan</t>
  </si>
  <si>
    <t>18.06.25</t>
  </si>
  <si>
    <t>returned on 18.06.25</t>
  </si>
  <si>
    <t>19.06.25</t>
  </si>
  <si>
    <t>21.06.25</t>
  </si>
  <si>
    <t>Ajai Manohar  ( Padi)</t>
  </si>
  <si>
    <t>Sri Chakra Jewellers</t>
  </si>
  <si>
    <t>23.06.25</t>
  </si>
  <si>
    <t>closed on 23.6.25</t>
  </si>
  <si>
    <t>closed on 24.6.25</t>
  </si>
  <si>
    <t>closed on 24.6.25 to sir</t>
  </si>
  <si>
    <t>A to Z Entertainer  ( Korattur)</t>
  </si>
  <si>
    <t>T. Manoj Kumar ( Manapakkam)</t>
  </si>
  <si>
    <t>24.06.25</t>
  </si>
  <si>
    <t>reduced 2000 to 1750</t>
  </si>
  <si>
    <t>Surya Selvaraj ( Karapakkam)</t>
  </si>
  <si>
    <t>25.06.25</t>
  </si>
  <si>
    <t>Madam</t>
  </si>
  <si>
    <t>cash</t>
  </si>
  <si>
    <t>17.05.25</t>
  </si>
  <si>
    <t>Fieldlytics Technologies PVT LTD</t>
  </si>
  <si>
    <t xml:space="preserve">reduced 100 </t>
  </si>
  <si>
    <t>26.06.25</t>
  </si>
  <si>
    <t>LS Devices PVT LTD</t>
  </si>
  <si>
    <t>28.06.25</t>
  </si>
  <si>
    <t>Qura consulting  Services</t>
  </si>
  <si>
    <t>01.07.25</t>
  </si>
  <si>
    <t>Markets of 1</t>
  </si>
  <si>
    <t>Customer</t>
  </si>
  <si>
    <t>GST NO</t>
  </si>
  <si>
    <t>33AAMCM7417Q1ZT</t>
  </si>
  <si>
    <t>33ABBFK1282G1ZO</t>
  </si>
  <si>
    <t>33AASCM8549D1Z3</t>
  </si>
  <si>
    <t>33AADCN9807A1ZS</t>
  </si>
  <si>
    <t>Embryo Business Solution</t>
  </si>
  <si>
    <t>02.07.25</t>
  </si>
  <si>
    <t>KB Infotech</t>
  </si>
  <si>
    <t>Infant Williams ( Villivakkam)</t>
  </si>
  <si>
    <t>03.07.25</t>
  </si>
  <si>
    <t>04.07.25</t>
  </si>
  <si>
    <t>05.07.25</t>
  </si>
  <si>
    <t>Eminent</t>
  </si>
  <si>
    <t>Timesmed   ( Battery)</t>
  </si>
  <si>
    <t>27.06.25</t>
  </si>
  <si>
    <t>08.07.25</t>
  </si>
  <si>
    <t>07.07.25</t>
  </si>
  <si>
    <t>Times Med Health Soft PVT LTD (key)</t>
  </si>
  <si>
    <t>Muthu ( Kun) Personal</t>
  </si>
  <si>
    <t>09.07.25</t>
  </si>
  <si>
    <t>Veeramani  ( ram &amp; cable)</t>
  </si>
  <si>
    <t>33AJUPV3951G3ZM</t>
  </si>
  <si>
    <t>33AAKFE7214L1ZC</t>
  </si>
  <si>
    <t>33AADCP2333D1Z1</t>
  </si>
  <si>
    <t>33AAUFR7844R1Z1</t>
  </si>
  <si>
    <t>33AAJCC0743N1ZL</t>
  </si>
  <si>
    <t>33AGAPA9447K1ZG</t>
  </si>
  <si>
    <t>Centaur Billing ( Aravind)</t>
  </si>
  <si>
    <t>Many 2 go ( Prakash 6382090554)</t>
  </si>
  <si>
    <t>Sarala  ( 9500076107)</t>
  </si>
  <si>
    <t>10.07.25</t>
  </si>
  <si>
    <t>Chq No: 004148</t>
  </si>
  <si>
    <t>Inchcape</t>
  </si>
  <si>
    <t>Madras Accontancy</t>
  </si>
  <si>
    <t>Brand Hungers ( 7200803383)follow</t>
  </si>
  <si>
    <t>2 payments</t>
  </si>
  <si>
    <t>informed to close on 12.7.25</t>
  </si>
  <si>
    <t>12.07.25</t>
  </si>
  <si>
    <t>Mr. Antony Sunil</t>
  </si>
  <si>
    <t>13.07.25</t>
  </si>
  <si>
    <t>paid</t>
  </si>
  <si>
    <t>with advance</t>
  </si>
  <si>
    <t>33ARXPV9844M5ZC</t>
  </si>
  <si>
    <t>11.07.25</t>
  </si>
  <si>
    <t>33AABCE5714B1ZB</t>
  </si>
  <si>
    <t>33AALCS8600A1ZQ</t>
  </si>
  <si>
    <t>33AAJCM8770B1ZH</t>
  </si>
  <si>
    <t>14160  2 payments</t>
  </si>
  <si>
    <t>Otto  (Jerry krishnan)</t>
  </si>
  <si>
    <t xml:space="preserve">Nirvaana   </t>
  </si>
  <si>
    <t>reduced 50 again</t>
  </si>
  <si>
    <t>16.07.25</t>
  </si>
  <si>
    <t>Robert Runcie ( Workstation)</t>
  </si>
  <si>
    <t>15.07.25</t>
  </si>
  <si>
    <t>18.07.25</t>
  </si>
  <si>
    <t>gpay to account number</t>
  </si>
  <si>
    <t xml:space="preserve"> </t>
  </si>
  <si>
    <t>closed on 18.07.25</t>
  </si>
  <si>
    <t>16.07.26</t>
  </si>
  <si>
    <t xml:space="preserve">Rashee Cares  </t>
  </si>
  <si>
    <t>for 15 days   (2150 x 4 )</t>
  </si>
  <si>
    <t>19.07.25</t>
  </si>
  <si>
    <t>2 payments + transport</t>
  </si>
  <si>
    <t>Storeworks PVT LTD  ( Arokiyaraj)</t>
  </si>
  <si>
    <t>E24 Technology  ( Bala)</t>
  </si>
  <si>
    <t>E24 Technologies ( Bala)</t>
  </si>
  <si>
    <t>Storeworks PVT LTD( Arokiyaraj)</t>
  </si>
  <si>
    <t>21.07.25</t>
  </si>
  <si>
    <t>Sathish ( Velacherry) 9940388908</t>
  </si>
  <si>
    <t>closed on 22.07.25</t>
  </si>
  <si>
    <t>22.07.25</t>
  </si>
  <si>
    <t>after 25th</t>
  </si>
  <si>
    <t>30.07.25</t>
  </si>
  <si>
    <t>25.07.25</t>
  </si>
  <si>
    <t>26.07.25</t>
  </si>
  <si>
    <t>28.o7.25</t>
  </si>
  <si>
    <t>28.07.25</t>
  </si>
  <si>
    <t>Malarvizhi  ( west Tambaram)</t>
  </si>
  <si>
    <t>Subha Nandhakumar ( Tambaram)</t>
  </si>
  <si>
    <t>Nabisa Begum ( Triplicane)</t>
  </si>
  <si>
    <t>Niroop Chetan ( Ashok Nagar)</t>
  </si>
  <si>
    <t>31.07.25</t>
  </si>
  <si>
    <t>Kavins ( Iyappanthangal)</t>
  </si>
  <si>
    <t>1/2 hour   closed</t>
  </si>
  <si>
    <t>will pay 2 payment next months</t>
  </si>
  <si>
    <t>Alandur ( service by suresh sir)</t>
  </si>
  <si>
    <t>Printer service by Dharani</t>
  </si>
  <si>
    <t>Kun Aero</t>
  </si>
  <si>
    <t>reduced 100</t>
  </si>
  <si>
    <t>Deposit   (  closed)</t>
  </si>
  <si>
    <t>01.08.25</t>
  </si>
  <si>
    <t>July payment</t>
  </si>
  <si>
    <t>17.07.25</t>
  </si>
  <si>
    <t>33AAGCM4451J1ZH</t>
  </si>
  <si>
    <t>33AAECK3374L1ZD</t>
  </si>
  <si>
    <t>33AAECF0057B1ZD</t>
  </si>
  <si>
    <t>Prabakaran Palo ( Nanganallur)</t>
  </si>
  <si>
    <t>31.07.28</t>
  </si>
  <si>
    <t>02.08.25</t>
  </si>
  <si>
    <t>June payment</t>
  </si>
  <si>
    <t>Many2go</t>
  </si>
  <si>
    <t>Centaur Billing</t>
  </si>
  <si>
    <t>Nirvaana</t>
  </si>
  <si>
    <t>04.08.25</t>
  </si>
  <si>
    <t>Sailex (Valasaravakkam )9042287766</t>
  </si>
  <si>
    <t>08.08.25</t>
  </si>
  <si>
    <t>07.08.25</t>
  </si>
  <si>
    <t>on 10th</t>
  </si>
  <si>
    <t>06.08.25</t>
  </si>
  <si>
    <t>500 BALANCE</t>
  </si>
  <si>
    <t>Kavitha sampath kumar ( Peravallur)</t>
  </si>
  <si>
    <t>Kendra vidyalaya (Boy) Amarnath</t>
  </si>
  <si>
    <t>Ameedul Ashiqeen</t>
  </si>
  <si>
    <t>09.08.25</t>
  </si>
  <si>
    <t>closed on 5.8.25</t>
  </si>
  <si>
    <t>July &amp; August</t>
  </si>
  <si>
    <t>Sakthi Arumbakkam( girl)6385129463</t>
  </si>
  <si>
    <t>Tamaraiselvi ( Velacherry)</t>
  </si>
  <si>
    <t>12/08.25</t>
  </si>
  <si>
    <t>CLOSED  0N 13.08.25</t>
  </si>
  <si>
    <t>10.08.25</t>
  </si>
  <si>
    <t>Timesmed   ( Laptop)</t>
  </si>
  <si>
    <t>15.08.25</t>
  </si>
  <si>
    <t xml:space="preserve"> July &amp; August payment</t>
  </si>
  <si>
    <t>L.S. Pon Vijai   (Villivakkam)9940560281</t>
  </si>
  <si>
    <t>for 2 days (   closed )</t>
  </si>
  <si>
    <t>only on 21 onwards</t>
  </si>
  <si>
    <t>18.08.25</t>
  </si>
  <si>
    <t>19.08.25</t>
  </si>
  <si>
    <t>cancel</t>
  </si>
  <si>
    <t>Manha Facility Management</t>
  </si>
  <si>
    <t>Account</t>
  </si>
  <si>
    <t>Sathish ( Velacherry) 8190057517 (follow)</t>
  </si>
  <si>
    <t>20.08.25</t>
  </si>
  <si>
    <t>Eduby Heart India PvT LTD</t>
  </si>
  <si>
    <t>22.08.25</t>
  </si>
  <si>
    <t>closed on 25.08.25</t>
  </si>
  <si>
    <t>Docto</t>
  </si>
  <si>
    <t>Kun</t>
  </si>
  <si>
    <t>cheque given on 25.08.25</t>
  </si>
  <si>
    <t>25.08.25</t>
  </si>
  <si>
    <t>Poorvaja   (Annanagar)</t>
  </si>
  <si>
    <t>14.08.25</t>
  </si>
  <si>
    <t>PPMS Field Marketing PVT ( Arokiyaraj)</t>
  </si>
  <si>
    <t>33AAFCP2938J1ZB</t>
  </si>
  <si>
    <t>32AAGCE2360J1ZV</t>
  </si>
  <si>
    <t>33AAICD4007D1Z9</t>
  </si>
  <si>
    <t>Docto  ( 9551212120)</t>
  </si>
  <si>
    <t>01.09.25</t>
  </si>
  <si>
    <t>02.09.25</t>
  </si>
  <si>
    <t>30.08.25</t>
  </si>
  <si>
    <t>Trinity</t>
  </si>
  <si>
    <t>KS</t>
  </si>
  <si>
    <t>Centaur</t>
  </si>
  <si>
    <t>Srinivasan ( Pozhichalur)</t>
  </si>
  <si>
    <t>June &amp; July payment</t>
  </si>
  <si>
    <t>NO</t>
  </si>
  <si>
    <t>C</t>
  </si>
  <si>
    <t>July &amp; August  ( 10,400)</t>
  </si>
  <si>
    <t>03.09.25</t>
  </si>
  <si>
    <t>Timesmed</t>
  </si>
  <si>
    <t>05.09.24</t>
  </si>
  <si>
    <t>04.09.25</t>
  </si>
  <si>
    <t>Sathya Plastic Industry</t>
  </si>
  <si>
    <t>05.09.25</t>
  </si>
  <si>
    <t>Arthy</t>
  </si>
  <si>
    <t>06.09.25</t>
  </si>
  <si>
    <t>08.09.25</t>
  </si>
  <si>
    <t>VinothKumar Pattalam</t>
  </si>
  <si>
    <t>09.09.25</t>
  </si>
  <si>
    <t>Pragathi</t>
  </si>
  <si>
    <t>August payment</t>
  </si>
  <si>
    <t>Field Lytics</t>
  </si>
  <si>
    <t>Naveen Prabhu  ( Annanagar)</t>
  </si>
  <si>
    <t>11.09.25</t>
  </si>
  <si>
    <t>closed on 11.09.25</t>
  </si>
  <si>
    <t>on Monday</t>
  </si>
  <si>
    <t>Closed on 12.09.25</t>
  </si>
  <si>
    <t>12.09.25</t>
  </si>
  <si>
    <t>Venkatesan ( Royapettah) Monitor</t>
  </si>
  <si>
    <t>Gomathy  ( Saidapet)</t>
  </si>
  <si>
    <t>Job George Mather ( Kattangulathur)</t>
  </si>
  <si>
    <t>15000+3500+250)</t>
  </si>
  <si>
    <t>Closed</t>
  </si>
  <si>
    <t>13.09.25</t>
  </si>
  <si>
    <t>Deepan Raj  ( Thiruverkadu)9042264206 ( f)</t>
  </si>
  <si>
    <t>21 st on wards</t>
  </si>
  <si>
    <t xml:space="preserve">July Payment </t>
  </si>
  <si>
    <t>10.09.25</t>
  </si>
  <si>
    <t>`18270</t>
  </si>
  <si>
    <t>15.09.25</t>
  </si>
  <si>
    <t>Muslim Girl Aishya</t>
  </si>
  <si>
    <t>Ganesh Kumar (Kolathur)</t>
  </si>
  <si>
    <t>Closed 15.09.25</t>
  </si>
  <si>
    <t>before payment</t>
  </si>
  <si>
    <t>18.09.25</t>
  </si>
  <si>
    <t>Ware Houster Infra PVT LTD</t>
  </si>
  <si>
    <t>DTOC</t>
  </si>
  <si>
    <t>20.09.25</t>
  </si>
  <si>
    <t>TN Skill</t>
  </si>
  <si>
    <t>22.09.25</t>
  </si>
  <si>
    <t>23.09.25</t>
  </si>
  <si>
    <t>Lalitha ( Menambedu)</t>
  </si>
  <si>
    <t>Syed Yejaaz ( Guindy) Mac Book</t>
  </si>
  <si>
    <t>Shooting</t>
  </si>
  <si>
    <t>21.09.25</t>
  </si>
  <si>
    <t>Balaji shanmugasundaram ( Bangalore)</t>
  </si>
  <si>
    <t>25.09.25</t>
  </si>
  <si>
    <t>KUN</t>
  </si>
  <si>
    <t>1600 x 4</t>
  </si>
  <si>
    <t>19.09.25</t>
  </si>
  <si>
    <t xml:space="preserve">1600 x 1 </t>
  </si>
  <si>
    <t xml:space="preserve">September payment </t>
  </si>
  <si>
    <t>27.09.25</t>
  </si>
  <si>
    <t>1600 x 3</t>
  </si>
  <si>
    <t>return</t>
  </si>
  <si>
    <t>PPMS</t>
  </si>
  <si>
    <t>Qura</t>
  </si>
  <si>
    <t>Karthi</t>
  </si>
  <si>
    <t>30.09.25</t>
  </si>
  <si>
    <t>E24</t>
  </si>
  <si>
    <t>33AACCW4123D1ZV</t>
  </si>
  <si>
    <t>33AAHCT9174C1ZA</t>
  </si>
  <si>
    <t>29.09.25</t>
  </si>
  <si>
    <t>33AABFQ3595P1ZP</t>
  </si>
  <si>
    <t>03.10.25</t>
  </si>
  <si>
    <t>Job George Mathew ( Kattangulathur)</t>
  </si>
  <si>
    <t xml:space="preserve">Eminent </t>
  </si>
  <si>
    <t>Madras</t>
  </si>
  <si>
    <t>Harish Chakravarthi</t>
  </si>
  <si>
    <t>Harish Chakravarthi  ( Madipakkam)</t>
  </si>
  <si>
    <t>Karthi  ( TNHB Ayapakkam)</t>
  </si>
  <si>
    <t>07.10.25</t>
  </si>
  <si>
    <t>08.10.25</t>
  </si>
  <si>
    <t>Varsha</t>
  </si>
  <si>
    <t>sale</t>
  </si>
  <si>
    <t>3.10.25</t>
  </si>
  <si>
    <t>Nethaji Prasad ( Thirumullaivoyil)</t>
  </si>
  <si>
    <t>E. Mahalakshmi ( Nerkundram)</t>
  </si>
  <si>
    <t>10.10.25</t>
  </si>
  <si>
    <t>E.Mahalakshmi</t>
  </si>
  <si>
    <t>06.10.25</t>
  </si>
  <si>
    <t>closed on 09.10.25</t>
  </si>
  <si>
    <t>closed on 08.10.25</t>
  </si>
  <si>
    <t>11.10.25</t>
  </si>
  <si>
    <t>Docto ( 9551212120)</t>
  </si>
  <si>
    <t>14.10.25</t>
  </si>
  <si>
    <t>13.10.25</t>
  </si>
  <si>
    <t>09.10.25</t>
  </si>
  <si>
    <t>15.10.25</t>
  </si>
  <si>
    <t>Varshu</t>
  </si>
  <si>
    <t>Dhanush ( K.K.Nagar)</t>
  </si>
  <si>
    <t>17.10.25</t>
  </si>
  <si>
    <t>Gayathri ( Kolathur) Wesleys school</t>
  </si>
  <si>
    <t>returned on 22.10.25 ( Sir house)</t>
  </si>
  <si>
    <t>22.10.25</t>
  </si>
  <si>
    <t>18.10.25</t>
  </si>
  <si>
    <t>23.10.25</t>
  </si>
  <si>
    <t>7670 ( 12.09..25)</t>
  </si>
  <si>
    <t>29.08.25</t>
  </si>
  <si>
    <t>27.10.25</t>
  </si>
  <si>
    <t>01.10.25</t>
  </si>
  <si>
    <t>25.10.25</t>
  </si>
  <si>
    <t>1st of every month</t>
  </si>
  <si>
    <t>2 months due 2000</t>
  </si>
  <si>
    <t>Eduby Heart</t>
  </si>
  <si>
    <t>24.10.25</t>
  </si>
  <si>
    <t>28.10.25</t>
  </si>
  <si>
    <t>Return  only after 15th of Nov.</t>
  </si>
  <si>
    <t>R</t>
  </si>
  <si>
    <t>Ariviq</t>
  </si>
  <si>
    <t>Kamal Manohar ( Jamaliya)</t>
  </si>
  <si>
    <t>Poovendhan( West Mgappair)</t>
  </si>
  <si>
    <t>31.10.25</t>
  </si>
  <si>
    <t>Narendran ( Madipakkam)</t>
  </si>
  <si>
    <t>02.10.25</t>
  </si>
  <si>
    <t>04.10.25</t>
  </si>
  <si>
    <t>30.10.25</t>
  </si>
  <si>
    <t>33AAJF17821G1ZF</t>
  </si>
  <si>
    <t>CGST</t>
  </si>
  <si>
    <t>SGST</t>
  </si>
  <si>
    <t>IGST</t>
  </si>
  <si>
    <t>PPMS ( Personal)</t>
  </si>
  <si>
    <t xml:space="preserve">sir told </t>
  </si>
  <si>
    <t>Abinash ( Thiru - vi-ka-Nagar)</t>
  </si>
  <si>
    <t>01.11.25</t>
  </si>
  <si>
    <t xml:space="preserve">October Payment </t>
  </si>
  <si>
    <t>02.10.25 (696)</t>
  </si>
  <si>
    <t>03.11.25</t>
  </si>
  <si>
    <t xml:space="preserve">2 month </t>
  </si>
  <si>
    <t>04.11.25</t>
  </si>
  <si>
    <t>cash RERTURNED ON 3.11.25</t>
  </si>
  <si>
    <t>Gayathri Wesleys</t>
  </si>
  <si>
    <t>06.11.25</t>
  </si>
  <si>
    <t>returned on7.11.25</t>
  </si>
  <si>
    <t>paid with the invoice amount</t>
  </si>
  <si>
    <t>08.11.25</t>
  </si>
  <si>
    <t>9.11.25</t>
  </si>
  <si>
    <t>10.11.25</t>
  </si>
  <si>
    <t>11.11.25</t>
  </si>
  <si>
    <t xml:space="preserve">Docto </t>
  </si>
  <si>
    <t>6.11.25</t>
  </si>
  <si>
    <t>returned on 10.11.25</t>
  </si>
  <si>
    <t>13.11.25</t>
  </si>
  <si>
    <t>15.11.25</t>
  </si>
  <si>
    <t>balance 1500  Oct &amp; Nov</t>
  </si>
  <si>
    <t>one day</t>
  </si>
  <si>
    <t>suresh cash</t>
  </si>
  <si>
    <t>GCXG   ( projector)</t>
  </si>
  <si>
    <t>Jerry James 5410 Work station ( Madambakkam)</t>
  </si>
  <si>
    <t>05.11.25</t>
  </si>
  <si>
    <t>Vega intelligence</t>
  </si>
  <si>
    <t>Kavibharathi ( 7299021445)  Tambaram)</t>
  </si>
  <si>
    <t>07.11.25</t>
  </si>
  <si>
    <t>Kaizenant</t>
  </si>
  <si>
    <t>Karthi Ayapakkam</t>
  </si>
  <si>
    <t xml:space="preserve">Varsha </t>
  </si>
  <si>
    <t>29.10.25</t>
  </si>
  <si>
    <t>Deepan Raj  ( Thiruverkadu)9042264206 ( f)Sakthi</t>
  </si>
  <si>
    <t>GCXG   ( USB Pen Drive)</t>
  </si>
  <si>
    <t>GCXG   ( Speaker &amp; Mike)</t>
  </si>
  <si>
    <t>returned on 17.11.25 mouse is pending</t>
  </si>
  <si>
    <t>18.11.25</t>
  </si>
  <si>
    <t>Kamal Manohar ( Jamaliya) closed</t>
  </si>
  <si>
    <t>Dhanush ( K.K.Nagar) closed</t>
  </si>
  <si>
    <t>Sathya Plastic Industry (closed)</t>
  </si>
  <si>
    <t>14.11.25</t>
  </si>
  <si>
    <t xml:space="preserve">Oct &amp; Nov payment </t>
  </si>
  <si>
    <t>Asia Engineering ( Nungambakkam)</t>
  </si>
  <si>
    <t>Tamaraiselvi</t>
  </si>
  <si>
    <t>Hudsmer</t>
  </si>
  <si>
    <t>OMIS</t>
  </si>
  <si>
    <t>25.11.25</t>
  </si>
  <si>
    <t>22.11.25</t>
  </si>
  <si>
    <t>19.11.25</t>
  </si>
  <si>
    <t>informed by sir on 25.11.25</t>
  </si>
  <si>
    <t>26.11.25</t>
  </si>
  <si>
    <t>27.11.25</t>
  </si>
  <si>
    <t>service needed</t>
  </si>
  <si>
    <t>28.11.25</t>
  </si>
  <si>
    <t>July 2 bills and August bill</t>
  </si>
  <si>
    <t>Alex Praveen Raj</t>
  </si>
  <si>
    <t>29.11.25</t>
  </si>
  <si>
    <t>2500+249</t>
  </si>
  <si>
    <t>33AAECK6303R1ZA</t>
  </si>
  <si>
    <t>33AAICG6545P1Z2</t>
  </si>
  <si>
    <t>33AADCV5649L1ZX</t>
  </si>
  <si>
    <t>33AAHCH2051G1Z0</t>
  </si>
  <si>
    <t>33AADCO5212C1Z4</t>
  </si>
  <si>
    <t>CLOSED on 28.11.25</t>
  </si>
  <si>
    <t>returned on 28.11.25</t>
  </si>
  <si>
    <t>30.11.25</t>
  </si>
  <si>
    <t>Daharani</t>
  </si>
  <si>
    <t>Fareen Khanam  ( Sunday) Ryzan(8610353944)</t>
  </si>
  <si>
    <t>Varum curriers Monitor</t>
  </si>
  <si>
    <t>IGM Children home</t>
  </si>
  <si>
    <t>20.11.25</t>
  </si>
  <si>
    <t>Padmini Ezhumalai</t>
  </si>
  <si>
    <t>Tamaraiselvi   (Velacherry)</t>
  </si>
  <si>
    <t>Malathy  ( Kolapakkam)</t>
  </si>
  <si>
    <t>Krishnan ( Nanganallur) MON 8056275187</t>
  </si>
  <si>
    <t>Fareen Khanam  (Alandur) Ryzan(8610353944)</t>
  </si>
  <si>
    <t>Varum curriers Monitor  ( Kovilambakkam)</t>
  </si>
  <si>
    <t>Karthi   (Ayapakkam)</t>
  </si>
  <si>
    <t>IGM Children home  ( Guduvancherry)  7530</t>
  </si>
  <si>
    <t>02.12.25</t>
  </si>
  <si>
    <t>4.12.25</t>
  </si>
  <si>
    <t>EXPENSES</t>
  </si>
  <si>
    <t>(PURCHSE</t>
  </si>
  <si>
    <t>BILLS)</t>
  </si>
  <si>
    <t>VVP</t>
  </si>
  <si>
    <t>Supreme Computers</t>
  </si>
  <si>
    <t>2526PSI25064763</t>
  </si>
  <si>
    <t>Roshan Technologies</t>
  </si>
  <si>
    <t>17.11.25</t>
  </si>
  <si>
    <t>CH/25-26/10724</t>
  </si>
  <si>
    <t>Scope Technologies</t>
  </si>
  <si>
    <t>33AADPJ7731N1ZJ</t>
  </si>
  <si>
    <t>Computer Waves</t>
  </si>
  <si>
    <t>CW/6004/25-26</t>
  </si>
  <si>
    <t>MRV INFOTECH INDIA PVT LTD</t>
  </si>
  <si>
    <t>MICCR/25-26/1632</t>
  </si>
  <si>
    <t>VVP TRADERS</t>
  </si>
  <si>
    <t>2526PSI25068693</t>
  </si>
  <si>
    <t xml:space="preserve">Syed Yejaaz ( Guindy) Mac Book  closed </t>
  </si>
  <si>
    <t xml:space="preserve">balance 1500 </t>
  </si>
  <si>
    <t>Field Lytics   ( closed)</t>
  </si>
  <si>
    <t>KUN  ( closed)</t>
  </si>
  <si>
    <t>Chidambaram ( kun friend</t>
  </si>
  <si>
    <t>04.12.25</t>
  </si>
  <si>
    <t>05.12.25</t>
  </si>
  <si>
    <t>Shamika  SRM  ( Mappedu)</t>
  </si>
  <si>
    <t>Muktha Mashi Kumari  ( Madhavaram)</t>
  </si>
  <si>
    <t>06.12.25</t>
  </si>
  <si>
    <t>08.12.25</t>
  </si>
  <si>
    <t>Bhuvaneswari ( Perumpakkam)</t>
  </si>
  <si>
    <t>Prema( Madanandhapuram)</t>
  </si>
  <si>
    <t>November payment</t>
  </si>
  <si>
    <t>Oct, Nov &amp; December</t>
  </si>
  <si>
    <t>Pradhan to Varsha</t>
  </si>
  <si>
    <t xml:space="preserve">Niroop Chetan ( Ashok Nagar) </t>
  </si>
  <si>
    <t>taken on 07.12.25</t>
  </si>
  <si>
    <t>returned on 5.12.25</t>
  </si>
  <si>
    <t>Varsh</t>
  </si>
  <si>
    <t>5.12.25</t>
  </si>
  <si>
    <t>8.12.25</t>
  </si>
  <si>
    <t>Ariviq   only in jan</t>
  </si>
  <si>
    <t>10000 advance</t>
  </si>
  <si>
    <t xml:space="preserve">Shyam </t>
  </si>
  <si>
    <t>25th should take</t>
  </si>
  <si>
    <t>10.12.25</t>
  </si>
  <si>
    <t>Poovendhan( West Mugappair)</t>
  </si>
  <si>
    <t>returned on9.12.25</t>
  </si>
  <si>
    <t>Howdy Chats (    9884873355) Times Med</t>
  </si>
  <si>
    <t>09.12.25</t>
  </si>
  <si>
    <t>PSK</t>
  </si>
  <si>
    <t>14.12.25</t>
  </si>
  <si>
    <t>15.12.25</t>
  </si>
  <si>
    <t>01.12.25</t>
  </si>
  <si>
    <t xml:space="preserve">November payment </t>
  </si>
  <si>
    <t>11.12.25</t>
  </si>
  <si>
    <t>12.12.25</t>
  </si>
  <si>
    <t>Divakar   ( Ethiraj Salai)</t>
  </si>
  <si>
    <t>Danush   (K.K. Nagar)</t>
  </si>
  <si>
    <t>16.12.25</t>
  </si>
  <si>
    <t>V</t>
  </si>
  <si>
    <t xml:space="preserve">Optimal Minds </t>
  </si>
  <si>
    <t>Krishnan Monitor (Sunday)  8056275187</t>
  </si>
  <si>
    <t>500+650</t>
  </si>
  <si>
    <t>Shyam  ( 7397464157)</t>
  </si>
  <si>
    <t>Nethaji Prasad ( Thirumullaivoyil) end of week</t>
  </si>
  <si>
    <t>16.09.25</t>
  </si>
  <si>
    <t>20.12.25</t>
  </si>
  <si>
    <t>Claimora Healthcare Service ( QURA)</t>
  </si>
  <si>
    <t>13.12.25</t>
  </si>
  <si>
    <t>19.12.25</t>
  </si>
  <si>
    <t>Madhavasharma ( Echampakkam)</t>
  </si>
  <si>
    <t>22.12.25</t>
  </si>
  <si>
    <t>21.12.25</t>
  </si>
  <si>
    <t>23.12.25</t>
  </si>
  <si>
    <t>YMCA  added in DEC</t>
  </si>
  <si>
    <t>December payment</t>
  </si>
  <si>
    <t>returned on 18.12.25</t>
  </si>
  <si>
    <t>returned</t>
  </si>
  <si>
    <t>Roxen Manikannan  ( Chengalpattu)</t>
  </si>
  <si>
    <t>Irfan (MKB Nagar)</t>
  </si>
  <si>
    <t>1500 Delivery</t>
  </si>
  <si>
    <t>400 Delivery</t>
  </si>
  <si>
    <t>27.12.25</t>
  </si>
  <si>
    <t>Reshma ( Choolaimedu) 8939119688</t>
  </si>
  <si>
    <t>26.12.25</t>
  </si>
  <si>
    <t>24.12.25</t>
  </si>
  <si>
    <t xml:space="preserve">2 payment </t>
  </si>
  <si>
    <t>2 payment  Oct &amp; Nov</t>
  </si>
  <si>
    <t>28.12.25</t>
  </si>
  <si>
    <t xml:space="preserve">should take </t>
  </si>
  <si>
    <t xml:space="preserve">Hudsmer  </t>
  </si>
  <si>
    <t>Koteeswari ( Nerkundram)</t>
  </si>
  <si>
    <t>31.12.25</t>
  </si>
  <si>
    <t>Dharshini</t>
  </si>
  <si>
    <t>Howdy chats</t>
  </si>
  <si>
    <t>Kun scalexuss Innovations PVT LTD</t>
  </si>
  <si>
    <t>33AAGFP2483E1ZF</t>
  </si>
  <si>
    <t>29AAKCK8332L1ZW</t>
  </si>
  <si>
    <t>Optimal Minds Brain Wellness Clinic</t>
  </si>
  <si>
    <t>33AESPL7171F2Z8</t>
  </si>
  <si>
    <t>Kun Aero Space( Cartridge)</t>
  </si>
  <si>
    <t>17.12.25</t>
  </si>
  <si>
    <t>Strategenis Business Valiants</t>
  </si>
  <si>
    <t>29.12.25</t>
  </si>
  <si>
    <t>33AFCFS2197B1Z9</t>
  </si>
  <si>
    <t>Roshan</t>
  </si>
  <si>
    <t>03.12.25</t>
  </si>
  <si>
    <t>CH/25-26/12437</t>
  </si>
  <si>
    <t>Dharshi Systems</t>
  </si>
  <si>
    <t>33AGFPT4447D1ZH</t>
  </si>
  <si>
    <t>Balaji Infotec</t>
  </si>
  <si>
    <t>25-26/10090</t>
  </si>
  <si>
    <t>33AAFPA8401N1ZX</t>
  </si>
  <si>
    <t>Supreme Compters</t>
  </si>
  <si>
    <t>2526ps125073795</t>
  </si>
  <si>
    <t>33AAGCS1406H1ZR</t>
  </si>
  <si>
    <t>CH/25-26/14055</t>
  </si>
  <si>
    <t>Era Solution</t>
  </si>
  <si>
    <t>ERA/25-26/1503</t>
  </si>
  <si>
    <t>07ARLPS4376B2ZJ</t>
  </si>
  <si>
    <t>CH/25-26/14572</t>
  </si>
  <si>
    <t>CH/25-26/15378</t>
  </si>
  <si>
    <t>CH/25-26/15414</t>
  </si>
  <si>
    <t>PURCHASE BILLS</t>
  </si>
  <si>
    <t>(EXPENSES)</t>
  </si>
  <si>
    <t>33CFWPM1061G1ZD</t>
  </si>
  <si>
    <t>33AAMFV4127F1Z8</t>
  </si>
  <si>
    <t>notpaid</t>
  </si>
  <si>
    <t xml:space="preserve">Nov &amp; Dec payment </t>
  </si>
  <si>
    <t>30.12.25</t>
  </si>
  <si>
    <t>700 balance</t>
  </si>
  <si>
    <r>
      <t xml:space="preserve">Irfan (MKB Nagar) </t>
    </r>
    <r>
      <rPr>
        <b/>
        <sz val="14"/>
        <color rgb="FF002060"/>
        <rFont val="Calibri"/>
        <family val="2"/>
        <scheme val="minor"/>
      </rPr>
      <t>Desktop Work</t>
    </r>
  </si>
  <si>
    <t>02.01.26</t>
  </si>
  <si>
    <t>02.01.2026</t>
  </si>
  <si>
    <t>03.01.26</t>
  </si>
  <si>
    <t>Pavamaana</t>
  </si>
  <si>
    <t>C424</t>
  </si>
  <si>
    <t>29AAMCP8938R1Z1</t>
  </si>
  <si>
    <t xml:space="preserve">Flex Clement </t>
  </si>
  <si>
    <t>05.01.26</t>
  </si>
  <si>
    <t>05.01.25</t>
  </si>
  <si>
    <t>Vishnu ( Vanagaram)</t>
  </si>
  <si>
    <t>06.01.26</t>
  </si>
  <si>
    <t>06.01.25</t>
  </si>
  <si>
    <t>Sangeethapriya ( Padi) kun reference</t>
  </si>
  <si>
    <t>Malathy  ( Kolapakkam)  tab</t>
  </si>
  <si>
    <t>Austra RCM PVT LTD</t>
  </si>
  <si>
    <t>returned on 7.1.26</t>
  </si>
  <si>
    <t xml:space="preserve">reduced from advance -  closed </t>
  </si>
  <si>
    <t>2000 balance</t>
  </si>
  <si>
    <t xml:space="preserve">December payment </t>
  </si>
  <si>
    <t>08.01.26</t>
  </si>
  <si>
    <t>09.01.26</t>
  </si>
  <si>
    <t>07.01.26</t>
  </si>
  <si>
    <t>fifth Angel Studio</t>
  </si>
  <si>
    <t>09.01.25</t>
  </si>
  <si>
    <t>next month will pay</t>
  </si>
  <si>
    <t>10.01.26</t>
  </si>
  <si>
    <t>Karthick  Workstation</t>
  </si>
  <si>
    <t>12.01.26</t>
  </si>
  <si>
    <t>12.01.25</t>
  </si>
  <si>
    <t>11.01.26</t>
  </si>
  <si>
    <t>Karthick  Workstation (Gerugambakkam)</t>
  </si>
  <si>
    <t>returned on 12.1.26</t>
  </si>
  <si>
    <t>sir told paid</t>
  </si>
  <si>
    <t>15.01.25</t>
  </si>
  <si>
    <t>19.01.25</t>
  </si>
  <si>
    <t>Sanjeev Kumar( Adambakkam)</t>
  </si>
  <si>
    <t>14.01.26</t>
  </si>
  <si>
    <t>20.01.25</t>
  </si>
  <si>
    <t>returned on 20.01.26 to sir house</t>
  </si>
  <si>
    <t>Vimal Jebaraj ( Kolathur &amp; GKM colony)</t>
  </si>
  <si>
    <t>20.01.26</t>
  </si>
  <si>
    <t>]</t>
  </si>
  <si>
    <t>21.01.26</t>
  </si>
  <si>
    <t>changed HP probook</t>
  </si>
  <si>
    <t>up to jan</t>
  </si>
  <si>
    <t>Hygge Coworking space ( Niranjan)</t>
  </si>
  <si>
    <t>Manha Facility Management 9787066569 FOLLOW</t>
  </si>
  <si>
    <t>22.01.26</t>
  </si>
  <si>
    <t xml:space="preserve">Nandhakumar Pradeep ( Gerugambakkam) </t>
  </si>
  <si>
    <t>Bhavithra Devi</t>
  </si>
  <si>
    <t>23.01.26</t>
  </si>
  <si>
    <t>Priyadharshini ( Pallikaranai)</t>
  </si>
  <si>
    <t>Sivanperumal ( Bajanaikoil St)</t>
  </si>
  <si>
    <t>24.01.26</t>
  </si>
  <si>
    <t>27.01.26</t>
  </si>
  <si>
    <t>25.01.26</t>
  </si>
  <si>
    <t>Julian Projector Vivekanadha illam</t>
  </si>
  <si>
    <t>Keerthana  ( Velacherry)</t>
  </si>
  <si>
    <t>Claimora Health Care</t>
  </si>
  <si>
    <t>LS Device</t>
  </si>
  <si>
    <t>30.01.26</t>
  </si>
  <si>
    <t>28.01.26</t>
  </si>
  <si>
    <t>done for extra 15 days</t>
  </si>
  <si>
    <t>Sabari Anandh ( Poonamalle)</t>
  </si>
  <si>
    <t>01.02.26</t>
  </si>
  <si>
    <t>02.02.26</t>
  </si>
  <si>
    <t>31.01.26</t>
  </si>
  <si>
    <t>Koteeswari ( Nerkundram)  Naveen Kumar</t>
  </si>
  <si>
    <t>33ABDCA3686M1ZD</t>
  </si>
  <si>
    <t>33ASAPM7686C1ZR</t>
  </si>
  <si>
    <t>Hudsmare</t>
  </si>
  <si>
    <t>26.01.26</t>
  </si>
  <si>
    <t>29.01.26</t>
  </si>
  <si>
    <t>33AAVFC6135H1ZA</t>
  </si>
  <si>
    <t>33AAECL4249D1ZT</t>
  </si>
  <si>
    <t>E24   (4500 was reduced for adjusment)</t>
  </si>
  <si>
    <t>sir informed</t>
  </si>
  <si>
    <t>Nexora Service and Solution</t>
  </si>
  <si>
    <t>03.02.26</t>
  </si>
  <si>
    <t>Austra RCM PVT LTD (christy follow 9505325725)</t>
  </si>
  <si>
    <t>Manha Facility  9787066569 Follow</t>
  </si>
  <si>
    <t>Jagadeesan ( KK Nagar)</t>
  </si>
  <si>
    <t>04.02.26</t>
  </si>
  <si>
    <t>03.01.25</t>
  </si>
  <si>
    <t>07.02.26</t>
  </si>
  <si>
    <t xml:space="preserve">Directly to Mam by Viyas </t>
  </si>
  <si>
    <t>i3 x 1100=12100</t>
  </si>
  <si>
    <t>i5 x 1600=6400</t>
  </si>
  <si>
    <t>05.02.26</t>
  </si>
  <si>
    <t>Karthick( Indhumathi) Madambakkam</t>
  </si>
  <si>
    <t xml:space="preserve">Malini   ( 1400 x 6 ) </t>
  </si>
  <si>
    <t>Praveen Kumar ( Mangadu)</t>
  </si>
  <si>
    <t>06.02.26</t>
  </si>
  <si>
    <t>pradhan to varshu</t>
  </si>
  <si>
    <t xml:space="preserve">Nethaji Prasad ( Thirumullaivoyil) </t>
  </si>
  <si>
    <t>Optimal minds</t>
  </si>
  <si>
    <t xml:space="preserve">changed into cash </t>
  </si>
  <si>
    <t>NIL</t>
  </si>
  <si>
    <t>returned on 7.2.26</t>
  </si>
  <si>
    <t>8.2.26</t>
  </si>
  <si>
    <t>Manikandan ( Adambakkam)</t>
  </si>
  <si>
    <t>09.02.26</t>
  </si>
  <si>
    <t>Surya Prakash ( Shenoy Nagar)</t>
  </si>
  <si>
    <t>10.02.26</t>
  </si>
  <si>
    <t>Warehouse infra Project</t>
  </si>
  <si>
    <t>Addanki Venkata Subrahmanyam</t>
  </si>
  <si>
    <t>11.02.26</t>
  </si>
  <si>
    <t>December  payment</t>
  </si>
  <si>
    <t>13.2.26</t>
  </si>
  <si>
    <t>pavithra devi</t>
  </si>
  <si>
    <t>16.2.26</t>
  </si>
  <si>
    <t>varshu</t>
  </si>
  <si>
    <t>9.2.26</t>
  </si>
  <si>
    <t>12.2.26</t>
  </si>
  <si>
    <t>LGR creatives ( Niranjan) 13400</t>
  </si>
  <si>
    <t>15.2.26</t>
  </si>
  <si>
    <t>17.2.26</t>
  </si>
  <si>
    <t>20.02.26</t>
  </si>
  <si>
    <t>18.2.2006</t>
  </si>
  <si>
    <t>20.2.26</t>
  </si>
  <si>
    <t>09.2.26</t>
  </si>
  <si>
    <t>23.2.26</t>
  </si>
  <si>
    <t>viyash To madam directly</t>
  </si>
  <si>
    <t>Niang Rosy</t>
  </si>
  <si>
    <t>Returned</t>
  </si>
  <si>
    <t>24.2.26</t>
  </si>
  <si>
    <t>06.2.26</t>
  </si>
  <si>
    <t xml:space="preserve">directly to Mam </t>
  </si>
  <si>
    <t>Ph no</t>
  </si>
  <si>
    <t>Date of given</t>
  </si>
  <si>
    <t>Amount</t>
  </si>
  <si>
    <t>To be taken</t>
  </si>
  <si>
    <t>Paid date</t>
  </si>
  <si>
    <t>Paid amt</t>
  </si>
  <si>
    <t>Taken</t>
  </si>
  <si>
    <t>to be taken</t>
  </si>
  <si>
    <t>Returned on 4.2.26</t>
  </si>
  <si>
    <t>Returned on 24.2.26</t>
  </si>
  <si>
    <t>1750 x 2</t>
  </si>
  <si>
    <t>24.02.26</t>
  </si>
  <si>
    <t>Advance</t>
  </si>
  <si>
    <t>Cutomer</t>
  </si>
  <si>
    <t>Ph. No</t>
  </si>
  <si>
    <t>Date of Given</t>
  </si>
  <si>
    <t>Invoice No</t>
  </si>
  <si>
    <t>Received Date</t>
  </si>
  <si>
    <t>Rcvd. Amount</t>
  </si>
  <si>
    <t>INV. Amount</t>
  </si>
  <si>
    <t>JARO INSTITUTE OF TECHNOLOGY</t>
  </si>
  <si>
    <t>Hudsmer Business Solutions PVT LTD</t>
  </si>
  <si>
    <t>Austra RCM -Sale</t>
  </si>
  <si>
    <t>PULSE TELESYSTEMS PRIVATE LIMITED -sale</t>
  </si>
  <si>
    <t>Strategenis Business Valiants - printer</t>
  </si>
  <si>
    <t>Middle East Fluid Treatment PVT LTD - Sale</t>
  </si>
  <si>
    <t>Paid to / Return date</t>
  </si>
  <si>
    <t>Dharani, 750 for KB  issue</t>
  </si>
  <si>
    <t>04.02.26 /27.02.26</t>
  </si>
  <si>
    <t>1150+1150</t>
  </si>
  <si>
    <t>Karthick Brito /Sekar  ( Velacherry)</t>
  </si>
  <si>
    <t xml:space="preserve">28.11.25 </t>
  </si>
  <si>
    <t>25.02.26</t>
  </si>
  <si>
    <t>Roxen manikannan Kovalam</t>
  </si>
  <si>
    <t>27.02.26</t>
  </si>
  <si>
    <t>IBEES</t>
  </si>
  <si>
    <t>28.02.26</t>
  </si>
  <si>
    <t>26.02.26</t>
  </si>
  <si>
    <t>14.02.26</t>
  </si>
  <si>
    <t>28.2.26</t>
  </si>
  <si>
    <t>Ramya Gopal</t>
  </si>
  <si>
    <t>24.11.25</t>
  </si>
  <si>
    <t>4th &amp; 27th Feb</t>
  </si>
  <si>
    <t>Nvidia RTX 3060 12GB Graphics card -Vishnu B</t>
  </si>
  <si>
    <t>25.2.26</t>
  </si>
  <si>
    <t>01.04.25</t>
  </si>
  <si>
    <t>Returned 28th</t>
  </si>
  <si>
    <t>paid Jan+Feb</t>
  </si>
  <si>
    <t>Varush - Feb is due</t>
  </si>
  <si>
    <t>madhavasharma [Echampakkam] -Kovilampakkam</t>
  </si>
  <si>
    <t>4250+4250</t>
  </si>
  <si>
    <t>Shrinivas ( West Tambaram) 1750 x 2 =3500</t>
  </si>
  <si>
    <t xml:space="preserve">                                                        2400 x 3=7200</t>
  </si>
  <si>
    <t>05.01.2026</t>
  </si>
  <si>
    <t>1.3.26</t>
  </si>
  <si>
    <t>Returned 1.3.26</t>
  </si>
  <si>
    <t>Sneha Aminjikarai</t>
  </si>
  <si>
    <t>DC NO</t>
  </si>
  <si>
    <t>1.03.26</t>
  </si>
  <si>
    <t>01.03.26</t>
  </si>
  <si>
    <t>Soxiolate Ventures private Limited</t>
  </si>
  <si>
    <t>Return date</t>
  </si>
  <si>
    <t>Asset no. config</t>
  </si>
  <si>
    <t>Qty</t>
  </si>
  <si>
    <t>split-up</t>
  </si>
  <si>
    <t>Varusha</t>
  </si>
  <si>
    <t>Asset no's/config</t>
  </si>
  <si>
    <t>workstation PC</t>
  </si>
  <si>
    <t>Dell 5560 -WL</t>
  </si>
  <si>
    <t>WL</t>
  </si>
  <si>
    <t>Monitor</t>
  </si>
  <si>
    <t>1*500/1*650</t>
  </si>
  <si>
    <t>Returned 3/3</t>
  </si>
  <si>
    <t>1*3500/1*3750/1*4000</t>
  </si>
  <si>
    <t>13*1100/4*1500</t>
  </si>
  <si>
    <t>02.03.26</t>
  </si>
  <si>
    <t>Advance/Due</t>
  </si>
  <si>
    <t>01.06.25</t>
  </si>
  <si>
    <t>08.02.25</t>
  </si>
  <si>
    <t>Returned on 2/3/26</t>
  </si>
  <si>
    <t>7*1000/1400*7/1500*1</t>
  </si>
  <si>
    <t>customer</t>
  </si>
  <si>
    <t>Dhanush-Vadapalani</t>
  </si>
  <si>
    <t>Dell 7410</t>
  </si>
  <si>
    <t>Model</t>
  </si>
  <si>
    <t>HP Pro Book i5</t>
  </si>
  <si>
    <t>Paid to / Return date/ASSET NO</t>
  </si>
  <si>
    <t>SILLY WISDUM PRIVATE LIMITED</t>
  </si>
  <si>
    <t>JORO SYSTEMS PRIVATE LIMITED</t>
  </si>
  <si>
    <t>Pavithra devi</t>
  </si>
  <si>
    <t>Returned 6/3/26</t>
  </si>
  <si>
    <t>Returned 5/3/26</t>
  </si>
  <si>
    <t>PPMS - given 2 laptops</t>
  </si>
  <si>
    <t>6/3/26 paid</t>
  </si>
  <si>
    <t>3/3/26 paid</t>
  </si>
  <si>
    <t>Arthy Valachery</t>
  </si>
  <si>
    <t>Kavibharathi (90808 69326/ 7299021445)  Tambaram)</t>
  </si>
  <si>
    <t>4 Laptops { 647,680,685 &amp; 687</t>
  </si>
  <si>
    <t>3 Laptops { 537,672,522}</t>
  </si>
  <si>
    <t>7/3/26 paid</t>
  </si>
  <si>
    <t>Shrinivas (West Tambaram) 1750 *1 + 2400*1)</t>
  </si>
  <si>
    <t>TDConnex</t>
  </si>
  <si>
    <t>Many2go -return</t>
  </si>
  <si>
    <t>Many2go-return</t>
  </si>
  <si>
    <t>Many2go-given</t>
  </si>
  <si>
    <t>Tdconnex-return</t>
  </si>
  <si>
    <t>Returned 7/3/2026</t>
  </si>
  <si>
    <t>24/25-March</t>
  </si>
  <si>
    <t>Paid /Return Date</t>
  </si>
  <si>
    <t>Mainikandan/Preetha (Saidapet)</t>
  </si>
  <si>
    <t>Naveen - Anna nager</t>
  </si>
  <si>
    <t>Returned 09/03/26</t>
  </si>
  <si>
    <t>HP probook 1 Laptop[514]</t>
  </si>
  <si>
    <t>Laptops 2</t>
  </si>
  <si>
    <t>2 Laptops [579,561]</t>
  </si>
  <si>
    <t>dell precission 7530 1 laptop</t>
  </si>
  <si>
    <t>30000+2500 gpay</t>
  </si>
  <si>
    <t>many2go  -retrun</t>
  </si>
  <si>
    <t>13/3/26</t>
  </si>
  <si>
    <t>14/3/26</t>
  </si>
  <si>
    <t>1 Laptop Dell</t>
  </si>
  <si>
    <t>13400+415</t>
  </si>
  <si>
    <t>Jancy Rani - Kodambakkam</t>
  </si>
  <si>
    <t>KS Associates .nandakuar -return</t>
  </si>
  <si>
    <t>Jan paid Varush, - Feb is due</t>
  </si>
  <si>
    <t>Sakthi / Deepan Raj  ( Thiruverkadu)9042264206 ( f)</t>
  </si>
  <si>
    <t>Cash Madam</t>
  </si>
  <si>
    <t>HP 240</t>
  </si>
  <si>
    <t>HP probook</t>
  </si>
  <si>
    <t>3*1600/1*2000</t>
  </si>
  <si>
    <t>1600*2 + 1800*1</t>
  </si>
  <si>
    <t>2300 *2</t>
  </si>
  <si>
    <t>Shrinivas (West Tambaram) 1750 *5 + 2400*2 +2000*2</t>
  </si>
  <si>
    <t>To be deleted</t>
  </si>
  <si>
    <t>Monitor 22" inch</t>
  </si>
  <si>
    <t>Dyna</t>
  </si>
  <si>
    <t>16/3/26</t>
  </si>
  <si>
    <t xml:space="preserve">Dell Latitude 7410 </t>
  </si>
  <si>
    <t>16/3/36</t>
  </si>
  <si>
    <t>17/3/26</t>
  </si>
  <si>
    <t>Karthik.s Choolaimedu</t>
  </si>
  <si>
    <t>1 monitor[1 week]</t>
  </si>
  <si>
    <t xml:space="preserve"> 1Lenovo 32-inch monitor </t>
  </si>
  <si>
    <t>Ganesh mani choolaimedu [ 1 week]</t>
  </si>
  <si>
    <t>Vishnu - Tynapet [ 1 week]</t>
  </si>
  <si>
    <t>A Dinesh Raj Egmore [ 1 week]</t>
  </si>
  <si>
    <t xml:space="preserve">Ahmed khali othman israel 18/3/26 should take  </t>
  </si>
  <si>
    <t>18/3/26</t>
  </si>
  <si>
    <t>Returned [18/3/26]</t>
  </si>
  <si>
    <t>20/3/26</t>
  </si>
  <si>
    <t>Returned [ BY viyash]</t>
  </si>
  <si>
    <t>19/3/26</t>
  </si>
  <si>
    <t>Dell precision 7550 1 laptop[lenovo laptop 1</t>
  </si>
  <si>
    <t>ptop 1 T490]</t>
  </si>
  <si>
    <t>[680,561]</t>
  </si>
  <si>
    <t>Laptop Dell</t>
  </si>
  <si>
    <t>21/3/26</t>
  </si>
  <si>
    <t>23/03/26</t>
  </si>
  <si>
    <t>Many2 go -given</t>
  </si>
  <si>
    <t xml:space="preserve">  </t>
  </si>
  <si>
    <t>23/3/26 Paid</t>
  </si>
  <si>
    <t>paid in Mar</t>
  </si>
  <si>
    <t>10000+</t>
  </si>
  <si>
    <t>22/3/26</t>
  </si>
  <si>
    <t>Lalithya ( Menambedu)</t>
  </si>
  <si>
    <t>24/3/26</t>
  </si>
  <si>
    <t>23/2/26</t>
  </si>
  <si>
    <t xml:space="preserve">   </t>
  </si>
  <si>
    <t>Thiresh kumar - Madipakkam -workstartion</t>
  </si>
  <si>
    <t>Buharraja&amp; sangeetha - workstartion</t>
  </si>
  <si>
    <t>Manikandan K</t>
  </si>
  <si>
    <t>Aravid / Optimal minds -Adayar --Workstation</t>
  </si>
  <si>
    <t>Prabakaran Palo ( Nanganallur) - workstartion</t>
  </si>
  <si>
    <t>Murphy Vignesh ( Ayyapakkam) workstartion</t>
  </si>
  <si>
    <t>YMCA  added in DEC workstartion</t>
  </si>
  <si>
    <t>LGR creatives ( Niranjan) 3500+3750+4000 workstartion</t>
  </si>
  <si>
    <t>Narender Madipakkam - Workstation</t>
  </si>
  <si>
    <t>Padmini Ezhumalai - workstartion</t>
  </si>
  <si>
    <t>DTOC Saidapet Workstation</t>
  </si>
  <si>
    <t>Dharani[4000] balance should pay</t>
  </si>
  <si>
    <t>3000+</t>
  </si>
  <si>
    <t>26/3/26</t>
  </si>
  <si>
    <t>Directly to sir</t>
  </si>
  <si>
    <t>30/04/25</t>
  </si>
  <si>
    <t>24/03/26</t>
  </si>
  <si>
    <t>28/02/26</t>
  </si>
  <si>
    <t>chennai@techbyheartacademy.com</t>
  </si>
  <si>
    <t>28/3/26</t>
  </si>
  <si>
    <t>18-27/3/26</t>
  </si>
  <si>
    <t>25/3/26</t>
  </si>
  <si>
    <t>3-11/3/26</t>
  </si>
  <si>
    <t>1-22/3/26</t>
  </si>
  <si>
    <t>29/3/26</t>
  </si>
  <si>
    <t>Tarun navallur</t>
  </si>
  <si>
    <t xml:space="preserve">DELL 5810 </t>
  </si>
  <si>
    <t>Mark</t>
  </si>
  <si>
    <t>29/26</t>
  </si>
  <si>
    <t>HP PRO Book 640 GB Notebook</t>
  </si>
  <si>
    <t>Many2go [Replacement] 3 laptops</t>
  </si>
  <si>
    <t>Gangadaran[1 week laptop]</t>
  </si>
  <si>
    <t>HP PRO Book-1/ Dyna-2</t>
  </si>
  <si>
    <t>Hemachander adambakkam 3 Days</t>
  </si>
  <si>
    <t>31/3/26</t>
  </si>
  <si>
    <t>laptop 1</t>
  </si>
  <si>
    <t>one problem</t>
  </si>
  <si>
    <t>Cutomer Name</t>
  </si>
  <si>
    <t>Asset NO</t>
  </si>
  <si>
    <t>Config</t>
  </si>
  <si>
    <t>Brand</t>
  </si>
  <si>
    <t>Date</t>
  </si>
  <si>
    <t>Reason</t>
  </si>
  <si>
    <t>6*1600</t>
  </si>
  <si>
    <t>Lenavo</t>
  </si>
  <si>
    <t>Dell 7530</t>
  </si>
  <si>
    <t>Manikandan K -Kulathur</t>
  </si>
  <si>
    <t>Qura _ambathur</t>
  </si>
  <si>
    <t>Veena Computer_ adambakkam</t>
  </si>
  <si>
    <t>Mark G _KK Nagar</t>
  </si>
  <si>
    <t>596, 514</t>
  </si>
  <si>
    <t>HP 8th, HP 11th</t>
  </si>
  <si>
    <t>Returned in 2 days</t>
  </si>
  <si>
    <t>Paid to</t>
  </si>
  <si>
    <t>Paid Date</t>
  </si>
  <si>
    <t>Paid Amt</t>
  </si>
  <si>
    <t>Addanki Venkata Subrahmanyam (advance 25000)</t>
  </si>
  <si>
    <t>Returned/closed/date</t>
  </si>
  <si>
    <t>Returned/closed</t>
  </si>
  <si>
    <t>Shrinivas (West Tambaram) - advance 78000</t>
  </si>
  <si>
    <t>Taken/closed</t>
  </si>
  <si>
    <t>Seyon Tech Digital Media Solutions</t>
  </si>
  <si>
    <t>TDCONNEX (CHENNAI) PRIVATE LIMITED</t>
  </si>
  <si>
    <t>Corpoffice@warehouster.com</t>
  </si>
  <si>
    <t>cash to madam</t>
  </si>
  <si>
    <t>Seamless speciality foods</t>
  </si>
  <si>
    <t>Dell precision 7530</t>
  </si>
  <si>
    <t>I7-8th GEN/16 GB RAM/512 SSD</t>
  </si>
  <si>
    <t>0UT</t>
  </si>
  <si>
    <t>OUT</t>
  </si>
  <si>
    <t>M1</t>
  </si>
  <si>
    <t>Seyon Tech digital media services</t>
  </si>
  <si>
    <t>Hp Elite Book 840 G6</t>
  </si>
  <si>
    <t>I5-8th GEN/8GB RAM/256 SSD</t>
  </si>
  <si>
    <t>Cadd emirates[suin samuel]</t>
  </si>
  <si>
    <t>Dell precision 3660</t>
  </si>
  <si>
    <t>silver work station dell precisionI7-10th GEN/16GB RAM/512 SSDOUY</t>
  </si>
  <si>
    <t>Jaro institute</t>
  </si>
  <si>
    <t>OUT for replacement</t>
  </si>
  <si>
    <t>Hp Laptop black</t>
  </si>
  <si>
    <t>Subramanian thooraipakkam</t>
  </si>
  <si>
    <t>cash to sir</t>
  </si>
  <si>
    <t>SBI BANK</t>
  </si>
  <si>
    <t>Seamless</t>
  </si>
  <si>
    <t>13/4/26</t>
  </si>
  <si>
    <t>Sabari velachery[Extra Laptop]</t>
  </si>
  <si>
    <t>Hp Laptop AMD Ryzen</t>
  </si>
  <si>
    <t>5-8GB RAM/256 SSD</t>
  </si>
  <si>
    <t>Akash computers [Veena Computers]</t>
  </si>
  <si>
    <t>Sivakumar [TIRUVOTTIYUR]</t>
  </si>
  <si>
    <t>Subramanian[Perungudi]</t>
  </si>
  <si>
    <t>Sabari velachery[extra 1 laptop] given to him</t>
  </si>
  <si>
    <t>24/7/25</t>
  </si>
  <si>
    <t>15/1/26</t>
  </si>
  <si>
    <t>JORO SYSTEMS PRIVATE LIMITED -workstation</t>
  </si>
  <si>
    <t>Sivakumar_Thrivarivour_workstation</t>
  </si>
  <si>
    <t xml:space="preserve">Dell Pricision 7550 </t>
  </si>
  <si>
    <t>16/4/26</t>
  </si>
  <si>
    <t>w611/701</t>
  </si>
  <si>
    <t>17/4/26</t>
  </si>
  <si>
    <t>silly wisdom</t>
  </si>
  <si>
    <t>22 inch monitor +cpu</t>
  </si>
  <si>
    <t xml:space="preserve">Dell precision </t>
  </si>
  <si>
    <t>Ajay Rajan Krishna porur</t>
  </si>
  <si>
    <t>hp laptop</t>
  </si>
  <si>
    <t>i5-11th GEN/16GB RAM/ 256 SSD</t>
  </si>
  <si>
    <t>nai@techbyheartacademy</t>
  </si>
  <si>
    <t>15/4/26</t>
  </si>
  <si>
    <t>PAID</t>
  </si>
  <si>
    <t>Silly wisdum private limited</t>
  </si>
  <si>
    <t>Rokash Harish [velachery]</t>
  </si>
  <si>
    <t>18/4/26</t>
  </si>
  <si>
    <t>14/4/26</t>
  </si>
  <si>
    <t>Balaji [pazavanthangal]</t>
  </si>
  <si>
    <t>Naveen Prabu[Anna Nagar]</t>
  </si>
  <si>
    <t>Rokash Harish [Velachery]</t>
  </si>
  <si>
    <t>DELL Laptop 7410</t>
  </si>
  <si>
    <t>IN</t>
  </si>
  <si>
    <t>I5-11th GEN/16GB RAM/512 SSD</t>
  </si>
  <si>
    <t>Balaji</t>
  </si>
  <si>
    <t>DELL Laptop 5410</t>
  </si>
  <si>
    <t>HP Laptop</t>
  </si>
  <si>
    <t>I3-10th GEN/8GB RAM/256 SSD</t>
  </si>
  <si>
    <t>2 Laptops {504,599</t>
  </si>
  <si>
    <t>Vignesh [valasaravakkam]</t>
  </si>
  <si>
    <t>w716</t>
  </si>
  <si>
    <t>I7-8th GEN/16GB RAM/ 512 SSD</t>
  </si>
  <si>
    <t>20/4/26</t>
  </si>
  <si>
    <t>I7-11th GEN/16GB RAM/ 256 SSD</t>
  </si>
  <si>
    <t>OUT for Replacement</t>
  </si>
  <si>
    <t>Toshiba Dyna Book</t>
  </si>
  <si>
    <t>Lenovo Think pad T480</t>
  </si>
  <si>
    <t>Lenovo Think pad L14</t>
  </si>
  <si>
    <t>R.P.Srinivas</t>
  </si>
  <si>
    <t>Lenovo Thinkpad T480,L14</t>
  </si>
  <si>
    <t xml:space="preserve"> Narendar.k choolaimedu</t>
  </si>
  <si>
    <t>I5-11th GEN/8GB RAM/256 SSD</t>
  </si>
  <si>
    <t>Nireen Bharathi seemacherry</t>
  </si>
  <si>
    <t>I7-11th GEN/16GB RAM/ 256 SSD OUT</t>
  </si>
  <si>
    <t xml:space="preserve"> I7-11th GEN/ 16GB RAM/512 SSD IN</t>
  </si>
  <si>
    <t>Hemachander adambakkam 3 Da</t>
  </si>
  <si>
    <t>21/4/26</t>
  </si>
  <si>
    <t>Bhurraja</t>
  </si>
  <si>
    <t>I5-10thGEN/16GB RAM/256 SSD</t>
  </si>
  <si>
    <t xml:space="preserve">  IN</t>
  </si>
  <si>
    <t>Lenovo Thinkpad L14 1 &amp;</t>
  </si>
  <si>
    <t>I7-10th GEN/16GB RAM/512 SSD</t>
  </si>
  <si>
    <t>Kalaiyarasan alandur ponniamma kovil street   21/4/26</t>
  </si>
  <si>
    <t>HP PRO Book</t>
  </si>
  <si>
    <t xml:space="preserve">  OUT</t>
  </si>
  <si>
    <t>22/4/26</t>
  </si>
  <si>
    <t>Sivakumar Tiruvottiyur</t>
  </si>
  <si>
    <t>I7-10th GEN/8GB RAM/512 SSD</t>
  </si>
  <si>
    <t>OUT replacement</t>
  </si>
  <si>
    <t>Ramesh Robinson</t>
  </si>
  <si>
    <t>Amedul Ashiqueen pampal madipakkam</t>
  </si>
  <si>
    <t>Tamaraiselvi  Velacherry</t>
  </si>
  <si>
    <t>23/4/26</t>
  </si>
  <si>
    <t>DineshRaj Egmore</t>
  </si>
  <si>
    <t>DELL Precision 5552</t>
  </si>
  <si>
    <t>DELL Laptop</t>
  </si>
  <si>
    <t>Priyavarshini Thirumavalavan</t>
  </si>
  <si>
    <t>Laptop HP PRO Book</t>
  </si>
  <si>
    <t>i5-11th GEN/16GB RAM/512 SSD</t>
  </si>
  <si>
    <t>DELL Precision 7550</t>
  </si>
  <si>
    <t>20/11/25</t>
  </si>
  <si>
    <t>24/4/26</t>
  </si>
  <si>
    <t>28/4/26</t>
  </si>
  <si>
    <t>27/4/26</t>
  </si>
  <si>
    <t>Nireen Bharathi</t>
  </si>
  <si>
    <t>Muktha vanshi kumari [madavaram]</t>
  </si>
  <si>
    <t>25/4/26</t>
  </si>
  <si>
    <t>Dell precision 7530 Laptop</t>
  </si>
  <si>
    <t>I7-8th GEN/16GB RAM/512 SSD</t>
  </si>
  <si>
    <t>Contago</t>
  </si>
  <si>
    <t>HPElite book G6 Laptop</t>
  </si>
  <si>
    <t>I5-8th GEN/8GB RAM/ 256 SSD</t>
  </si>
  <si>
    <t>OUT [Extra 1 Laptop given]</t>
  </si>
  <si>
    <t>Jaro institute of technology</t>
  </si>
  <si>
    <t>Lenovo thinkpad Laptop</t>
  </si>
  <si>
    <t>I5-10th GEN/ 8GB RAM/ 256 SSD</t>
  </si>
  <si>
    <t>OUT[Extra 1 laptop given]</t>
  </si>
  <si>
    <t>I7-11th GEN/16GB RAM/ 512 SDD</t>
  </si>
  <si>
    <t>29/4/26</t>
  </si>
  <si>
    <t>Remarks</t>
  </si>
  <si>
    <t xml:space="preserve">Customer </t>
  </si>
  <si>
    <t>Manikandan-saidapet</t>
  </si>
  <si>
    <t>Cash/Bank/Gpay</t>
  </si>
  <si>
    <t>Paid from</t>
  </si>
  <si>
    <t>Varun-Curries</t>
  </si>
  <si>
    <t>Mark G</t>
  </si>
  <si>
    <t>Poorvaja</t>
  </si>
  <si>
    <t>VenkataKrishnan S K</t>
  </si>
  <si>
    <t>Padmini-Ramya</t>
  </si>
  <si>
    <t>S Ramya</t>
  </si>
  <si>
    <t>Veena computer</t>
  </si>
  <si>
    <t>Venugopalan</t>
  </si>
  <si>
    <t>April 6th</t>
  </si>
  <si>
    <t>sangeetha priya padi</t>
  </si>
  <si>
    <t>sangeetha priya radha krishnan</t>
  </si>
  <si>
    <t>April 7th</t>
  </si>
  <si>
    <t>Narendaran r</t>
  </si>
  <si>
    <t>Narendaran R</t>
  </si>
  <si>
    <t>Karthick brito</t>
  </si>
  <si>
    <t>karthick</t>
  </si>
  <si>
    <t>Jagadeesan</t>
  </si>
  <si>
    <t>Jegadeesan k</t>
  </si>
  <si>
    <t>April 10th</t>
  </si>
  <si>
    <t>Keerthana</t>
  </si>
  <si>
    <t>keerthana</t>
  </si>
  <si>
    <t>April 11th</t>
  </si>
  <si>
    <t>Nexora</t>
  </si>
  <si>
    <t>not showing name</t>
  </si>
  <si>
    <t>April 13th</t>
  </si>
  <si>
    <t>bavithra devi</t>
  </si>
  <si>
    <t>Not showing name</t>
  </si>
  <si>
    <t>Parvathi.A</t>
  </si>
  <si>
    <t>Manikandan adambakkam</t>
  </si>
  <si>
    <t>Manikandan.N</t>
  </si>
  <si>
    <t>Manikandan Kolathur</t>
  </si>
  <si>
    <t>April 22rd</t>
  </si>
  <si>
    <t>Nandhakumar pradeep</t>
  </si>
  <si>
    <t>Lalithya</t>
  </si>
  <si>
    <t>Lalithya.E</t>
  </si>
  <si>
    <t xml:space="preserve">April 28th </t>
  </si>
  <si>
    <t>MS Priya</t>
  </si>
  <si>
    <t>April 23rd</t>
  </si>
  <si>
    <t>April 27th</t>
  </si>
  <si>
    <t>Niranjan</t>
  </si>
  <si>
    <t>Priyadharshini</t>
  </si>
  <si>
    <t>Priyadharshini.R</t>
  </si>
  <si>
    <t>Reeshma</t>
  </si>
  <si>
    <t>Murphy</t>
  </si>
  <si>
    <t>April 9th</t>
  </si>
  <si>
    <t>srinivasan polichalur</t>
  </si>
  <si>
    <t>Srinivasan.J</t>
  </si>
  <si>
    <t xml:space="preserve">April 16th </t>
  </si>
  <si>
    <t>April 20th</t>
  </si>
  <si>
    <t>shenbaganathan</t>
  </si>
  <si>
    <t>Naveen Kumar .T</t>
  </si>
  <si>
    <t>SHenbaganathan.S</t>
  </si>
  <si>
    <t>contango</t>
  </si>
  <si>
    <t>Prabakaran Palo</t>
  </si>
  <si>
    <t>Kirthanna</t>
  </si>
  <si>
    <t>Rahul</t>
  </si>
  <si>
    <t>April 29th</t>
  </si>
  <si>
    <t>Brand hungers</t>
  </si>
  <si>
    <t>Ajay vidhyasagar Reghu</t>
  </si>
  <si>
    <t>Thiresh kumar</t>
  </si>
  <si>
    <t>Hariharan.M</t>
  </si>
  <si>
    <t xml:space="preserve">April 29th </t>
  </si>
  <si>
    <t>Fifth angle studio</t>
  </si>
  <si>
    <t>Bank</t>
  </si>
  <si>
    <t>SBI Bank</t>
  </si>
  <si>
    <t>April 25th</t>
  </si>
  <si>
    <t>Nireen bharathi</t>
  </si>
  <si>
    <t>I7-11th GEN/24GB RAM/512 SSD</t>
  </si>
  <si>
    <t>Replacement for 692</t>
  </si>
  <si>
    <t>Dharashi</t>
  </si>
  <si>
    <t>Dell precision</t>
  </si>
  <si>
    <t>OUT for service</t>
  </si>
  <si>
    <t>Hudsmer business solutions</t>
  </si>
  <si>
    <t>30/4/26</t>
  </si>
  <si>
    <t>I7-9thGEN/32GB RAM/512 SSD</t>
  </si>
  <si>
    <t>I7-11th GEN/16GB RAM/512 SSD</t>
  </si>
  <si>
    <t>Niranjan LGR creatives</t>
  </si>
  <si>
    <t>Dell precision 7540 Laptop</t>
  </si>
  <si>
    <t>I7-9thGEN/16GB RAM/512 SSD</t>
  </si>
  <si>
    <t>Lenovo T480</t>
  </si>
  <si>
    <t>I5-8thGEN/8GB RAM/256 SSD</t>
  </si>
  <si>
    <t>LenovoT480s</t>
  </si>
  <si>
    <t>Lenovo L490</t>
  </si>
  <si>
    <t>T490</t>
  </si>
  <si>
    <t>I5-8thGEN/16GB RAM/256 SSD</t>
  </si>
  <si>
    <t>Lenovo</t>
  </si>
  <si>
    <t>I5-8thGEN/8GBRAM/265 SSD</t>
  </si>
  <si>
    <t>HP PRO Book 640 G8</t>
  </si>
  <si>
    <t>I5-11thGEN/16GB RAM/512 SSD</t>
  </si>
  <si>
    <t>HP</t>
  </si>
  <si>
    <t>Dell Latitude 7410</t>
  </si>
  <si>
    <t>VVP[APPLE Laptop]</t>
  </si>
  <si>
    <t>Apple Laptop</t>
  </si>
  <si>
    <t>I7-10thGEN/32GB RAM/512 SSD</t>
  </si>
  <si>
    <t>IN [NEW]</t>
  </si>
  <si>
    <t>Aravind optical minds</t>
  </si>
  <si>
    <t>[Replacement for 654]</t>
  </si>
  <si>
    <t>Koteeswari ( Nerkundram) Naveen]</t>
  </si>
  <si>
    <t>3o/4/26</t>
  </si>
  <si>
    <t>March 31th</t>
  </si>
  <si>
    <t>Naveenkumar murugan</t>
  </si>
  <si>
    <t>Naveen kumar murugan   [2000 pevilion laptop rent &amp; HP laptop rent 2350&amp; 3000 for pevilion advance]</t>
  </si>
  <si>
    <t>MAY 1st</t>
  </si>
  <si>
    <t>Shamikha</t>
  </si>
  <si>
    <t>April 30th</t>
  </si>
  <si>
    <t>Shamikha.A</t>
  </si>
  <si>
    <t>IN&amp; Given to hudsmer]</t>
  </si>
  <si>
    <t>May 2rd</t>
  </si>
  <si>
    <t>Malarvizhi murugan</t>
  </si>
  <si>
    <t>Malarvizhi [ April month payment]</t>
  </si>
  <si>
    <t>I7-11th GEN/32GB RAM/512 SSD</t>
  </si>
  <si>
    <t>OUT for Replacement for 654</t>
  </si>
  <si>
    <t>Seyon</t>
  </si>
  <si>
    <t>HP ELITEBook 840G6</t>
  </si>
  <si>
    <t>OUT for service given to paavamaana</t>
  </si>
  <si>
    <t>given to seyon with new serial number]</t>
  </si>
  <si>
    <t>Shamika Srm student</t>
  </si>
  <si>
    <t>HP 250 G7 Notebook PC</t>
  </si>
  <si>
    <t>OUT EXTRA</t>
  </si>
  <si>
    <t>April month payment</t>
  </si>
  <si>
    <t>DVFSTQ3</t>
  </si>
  <si>
    <t>I7-11th GEN/16GB RAM/256 SSD</t>
  </si>
  <si>
    <t>OUT Replacement for 541</t>
  </si>
  <si>
    <t>Lenovo Thinkpad T490</t>
  </si>
  <si>
    <t>I5-8th GEN/16GB RAM/256 SSD</t>
  </si>
  <si>
    <t>OUT Replacement for 706</t>
  </si>
  <si>
    <t>Judy patricia unmancheri</t>
  </si>
  <si>
    <t>Lenovo Thinkpad 7420</t>
  </si>
  <si>
    <t>I7-8th GEN/16GB RAM/256 SSD</t>
  </si>
  <si>
    <t>Vijay[EMS]</t>
  </si>
  <si>
    <t>Desktop,monitor,kb,mouse</t>
  </si>
  <si>
    <t>I5-4th GEN/ 8GB RAM  / 256 SSD+ 500 HD</t>
  </si>
  <si>
    <t>Return</t>
  </si>
  <si>
    <t>onetime from Jaro, secondtime Nireen</t>
  </si>
  <si>
    <t>2 Nos</t>
  </si>
  <si>
    <t>HP Laatop</t>
  </si>
  <si>
    <t>OUT Replacement for</t>
  </si>
  <si>
    <t>Buvaraghavan [porur]</t>
  </si>
  <si>
    <t>2 NOS</t>
  </si>
  <si>
    <t>DELL&amp; ACER MONITOR</t>
  </si>
  <si>
    <t>Sangeetha PRIYA [PADI]</t>
  </si>
  <si>
    <t>HP 240 G7 Laptop</t>
  </si>
  <si>
    <t>I3-10th GEN/8GB RAM/512 SSD</t>
  </si>
  <si>
    <t>I7-11th GEN/16 GB RAM/ 512 SSD</t>
  </si>
  <si>
    <t>IN [Came from vvp] serviced]</t>
  </si>
  <si>
    <t>17-11thGEN/ 16GB RAM/512 SSD</t>
  </si>
  <si>
    <t>Toshiba Dynabook</t>
  </si>
  <si>
    <t xml:space="preserve">OUT </t>
  </si>
  <si>
    <t>Lenovo laptop</t>
  </si>
  <si>
    <t>HP EliteBook</t>
  </si>
  <si>
    <t xml:space="preserve">Hp Elite Book </t>
  </si>
  <si>
    <t>Dharashi[ Brought new]</t>
  </si>
  <si>
    <t>SivakumarsS_Thrivarivour_workstation</t>
  </si>
  <si>
    <t>Dharshini systems</t>
  </si>
  <si>
    <t>HPElite book G6 Laptop [2]</t>
  </si>
  <si>
    <t>Dell Precision 7550</t>
  </si>
  <si>
    <t>OUT[ He exchanged to 680]</t>
  </si>
  <si>
    <t xml:space="preserve">Jaro Aravind </t>
  </si>
  <si>
    <t>I7-8th GEN/8GB RAM/256 SSD</t>
  </si>
  <si>
    <t>HP Elite book G6[2 Laptops]</t>
  </si>
  <si>
    <t>Veena[Akash computers]</t>
  </si>
  <si>
    <t>Addanki venkata subrahmaniyam</t>
  </si>
  <si>
    <t>Toshiba DynaBook</t>
  </si>
  <si>
    <t>Vamsi to Hudsmer porter]</t>
  </si>
  <si>
    <t>Hudsmer to varshu</t>
  </si>
  <si>
    <t>Dell Precision 7530</t>
  </si>
  <si>
    <t>I3-10th GEN/ 8GB RAM/512 SSD</t>
  </si>
  <si>
    <t>May 3rd</t>
  </si>
  <si>
    <t>Karthick [Ayapakkam]</t>
  </si>
  <si>
    <t>May 4th</t>
  </si>
  <si>
    <t>Jagadeesan[k.k Nagar]</t>
  </si>
  <si>
    <t>May 5th</t>
  </si>
  <si>
    <t>Karthick [Brito]</t>
  </si>
  <si>
    <t>Monisha</t>
  </si>
  <si>
    <t>Karthigayan.N</t>
  </si>
  <si>
    <t xml:space="preserve">Lenovo </t>
  </si>
  <si>
    <t>OUT for sevice to Roshan</t>
  </si>
  <si>
    <t>Roshan Tech</t>
  </si>
  <si>
    <t>Dell CPU</t>
  </si>
  <si>
    <t>April 3rd</t>
  </si>
  <si>
    <t>April 4th</t>
  </si>
  <si>
    <t>OUT Replacement for 591</t>
  </si>
  <si>
    <t>Ajhai nagharjun[maduvinkarai]</t>
  </si>
  <si>
    <t>I7-11th GEN/ 16GB RAM/ 256 SSD</t>
  </si>
  <si>
    <t>TD CONNEX</t>
  </si>
  <si>
    <t>Total</t>
  </si>
  <si>
    <t>Jaro [Aravind]</t>
  </si>
  <si>
    <t>13/5/26</t>
  </si>
  <si>
    <t>Lenovo Thinkpad</t>
  </si>
  <si>
    <t>15-8th GEN/ 16GB RAM/ 256 SSD</t>
  </si>
  <si>
    <t>Dynabook</t>
  </si>
  <si>
    <t>OUT[ Replacement for 557</t>
  </si>
  <si>
    <t>13/5/2026</t>
  </si>
  <si>
    <t>S.RAMYA - Padmini Ezhumalai</t>
  </si>
  <si>
    <t>LGR creatives ( Niranjan) 4500+3750+4000 workstartion</t>
  </si>
  <si>
    <t>Shrinivas (West Tambaram)</t>
  </si>
  <si>
    <t>1750 *5 + 2400*2 +2000*2</t>
  </si>
  <si>
    <t>1750 *7 + 2400*2 +2000*2</t>
  </si>
  <si>
    <t>20th 2*1750*20 days</t>
  </si>
  <si>
    <t>2000*1+2250*1</t>
  </si>
  <si>
    <t>25/05/26</t>
  </si>
  <si>
    <t>15/5/26</t>
  </si>
  <si>
    <t>14/5/26</t>
  </si>
  <si>
    <t>Ajay Rajan Krishna [porur]</t>
  </si>
  <si>
    <t>18/5/26</t>
  </si>
  <si>
    <t>19/5/26</t>
  </si>
  <si>
    <t>Docto Technologies PVT LTD</t>
  </si>
  <si>
    <t>16/5/26</t>
  </si>
  <si>
    <t>Lenovo Thinkpad L14</t>
  </si>
  <si>
    <t>I5-10th GEN/8GB RAM/256 SSD</t>
  </si>
  <si>
    <t>OUT [EXTRA LAPTOP TAKEN]</t>
  </si>
  <si>
    <t>Dell latitude laptop 7410</t>
  </si>
  <si>
    <t>KEZIA</t>
  </si>
  <si>
    <t>Malini Selvaraj</t>
  </si>
  <si>
    <t>HP laptop</t>
  </si>
  <si>
    <t>I3-10th GEN/ 8GB RAM/256 SSD</t>
  </si>
  <si>
    <t>Cash to madam</t>
  </si>
  <si>
    <t>Bhuvaragavan.R</t>
  </si>
  <si>
    <t>May4th</t>
  </si>
  <si>
    <t>Judy patricia Raj[ vandaloor]</t>
  </si>
  <si>
    <t>May 6th</t>
  </si>
  <si>
    <t>May 7th</t>
  </si>
  <si>
    <t>Narendaran.R</t>
  </si>
  <si>
    <t xml:space="preserve">May 11th </t>
  </si>
  <si>
    <t>Sabari vignesh Nagarjan[Velachery]</t>
  </si>
  <si>
    <t>Malini devi.s</t>
  </si>
  <si>
    <t>May 12th</t>
  </si>
  <si>
    <t>Naveen kumar murugan</t>
  </si>
  <si>
    <t>Prabhakar palo</t>
  </si>
  <si>
    <t>May 13th</t>
  </si>
  <si>
    <t>Subramanian.D</t>
  </si>
  <si>
    <t>May 14th</t>
  </si>
  <si>
    <t>Rehan Joe</t>
  </si>
  <si>
    <t>May14th</t>
  </si>
  <si>
    <t>Divya.R pallikaranai workstation</t>
  </si>
  <si>
    <t>Kavi Bharathi.V</t>
  </si>
  <si>
    <t>May 15th</t>
  </si>
  <si>
    <t>Jay Ramesh</t>
  </si>
  <si>
    <t>Jay Ramesh.s</t>
  </si>
  <si>
    <t>May15th</t>
  </si>
  <si>
    <t>Sakthi workstation</t>
  </si>
  <si>
    <t>20/5/26</t>
  </si>
  <si>
    <t>A. Shamika ( SRM Student)</t>
  </si>
  <si>
    <t>Judy Patricia Raj _vandaloor</t>
  </si>
  <si>
    <t>i5</t>
  </si>
  <si>
    <t>2*1500</t>
  </si>
  <si>
    <t>Buvaraghavan</t>
  </si>
  <si>
    <t>MALINI SELVARAJ  - karnikar Street</t>
  </si>
  <si>
    <t>Ajhai Naghaarjun &amp;RadhaRukmani -Gunidy</t>
  </si>
  <si>
    <t>BATZE MOBILITY PRIVATE LIMITED</t>
  </si>
  <si>
    <t>20/05/2026</t>
  </si>
  <si>
    <t>15/05/2026</t>
  </si>
  <si>
    <t>20/05/26</t>
  </si>
  <si>
    <t>19/05/26</t>
  </si>
  <si>
    <t>SUNIL MISHRA --Kodampakkam</t>
  </si>
  <si>
    <t>Devki Nandan Bansal - Cholai</t>
  </si>
  <si>
    <t>31/12/25</t>
  </si>
  <si>
    <t>21/5/26</t>
  </si>
  <si>
    <t>Sunil Mishra</t>
  </si>
  <si>
    <t>Devki Nandan Bansal</t>
  </si>
  <si>
    <t>I5-11th GEN/16GB RAM/256 SSD</t>
  </si>
  <si>
    <t>OUT[EXTRA I TAKEN]</t>
  </si>
  <si>
    <t>Dell Precision 7530 Laptop</t>
  </si>
  <si>
    <t>HP 250 G8 Laptop</t>
  </si>
  <si>
    <t>HP 250 G8  Laptop</t>
  </si>
  <si>
    <t>BATZE MOBILITY</t>
  </si>
  <si>
    <t>Dell Precision Laptop 7530</t>
  </si>
  <si>
    <t>I7-8th GEN/8GB RAM/ 512 SSD</t>
  </si>
  <si>
    <t>NO[ Serial num]</t>
  </si>
  <si>
    <t>Omis</t>
  </si>
  <si>
    <t>22/5/26</t>
  </si>
  <si>
    <t>HP Zbook</t>
  </si>
  <si>
    <t>Ultra 5225U/16GB RAM/ 512 SSD</t>
  </si>
  <si>
    <t>OUT[New Laptop 1 Given]</t>
  </si>
  <si>
    <t>23/5/26</t>
  </si>
  <si>
    <t>Sabari/Keerthana  ( Velacherry)</t>
  </si>
  <si>
    <t>Middle East Fluid Treatment PVT LTD</t>
  </si>
  <si>
    <t>30/3/26</t>
  </si>
  <si>
    <t>CADD EMIRATES INDIA PRIVATE LIMITED</t>
  </si>
  <si>
    <t>one extra</t>
  </si>
  <si>
    <t>25/5/26</t>
  </si>
  <si>
    <t xml:space="preserve">I5-8th GEN/16GB RAM/ 256 SSD </t>
  </si>
  <si>
    <t>OUT for replacement[ 533]</t>
  </si>
  <si>
    <t>OUT for replacement[ 554,563,565]</t>
  </si>
  <si>
    <t>Madam[cash]</t>
  </si>
  <si>
    <t>3000+3000</t>
  </si>
  <si>
    <t>Tarun navallur -workstation</t>
  </si>
  <si>
    <t>Ameedul Ashiqeen [Madipakkam] -workstation</t>
  </si>
  <si>
    <t>Seamless - workstation</t>
  </si>
  <si>
    <t>Muktha Vanshi Kumari - qorkstation</t>
  </si>
  <si>
    <t>Infinite growth private limited - workstation</t>
  </si>
  <si>
    <t>JBB SOFTJBB SOFTECH PRIVATE LIMITED - workstation</t>
  </si>
  <si>
    <t>KEZIA --Madavakkam</t>
  </si>
  <si>
    <t>26/5/26</t>
  </si>
  <si>
    <t>Lenovo Thinkpad P15 GEN1</t>
  </si>
  <si>
    <t>I7-10th GEN/32GB RAM/512 SSD</t>
  </si>
  <si>
    <t>1000 +1400</t>
  </si>
  <si>
    <t>27/5/26</t>
  </si>
  <si>
    <t>Monitor,desktop,kb,mouse 3 set</t>
  </si>
  <si>
    <t>Laptop HP 240G8</t>
  </si>
  <si>
    <t>I3-10th GEN/8GB RAM/ 256 SSD</t>
  </si>
  <si>
    <t>Krishna prasad VSR</t>
  </si>
  <si>
    <t>Aadhisivam .A</t>
  </si>
  <si>
    <t>Laptop HP 250 G7</t>
  </si>
  <si>
    <t>Laptop HP 240 G7 Notebook PC</t>
  </si>
  <si>
    <t>I5-10th GEN/16GB RAM/512 SSD</t>
  </si>
  <si>
    <t>Dell Laptop precision 7530</t>
  </si>
  <si>
    <t>I7-8th GEN/ 16GB RAM/512 SSD</t>
  </si>
  <si>
    <t>Aadhisivam.A</t>
  </si>
  <si>
    <t>Ameedul Ashiqeen [Madipakkam] -</t>
  </si>
  <si>
    <t>Cash/mam</t>
  </si>
  <si>
    <t>Cash /Sir</t>
  </si>
  <si>
    <t>Tamaraiselvi  Velacherry [Naveen kumar]</t>
  </si>
  <si>
    <t>28/5/26</t>
  </si>
  <si>
    <t>May 8th</t>
  </si>
  <si>
    <t>Dhanush</t>
  </si>
  <si>
    <t>Gangadaran</t>
  </si>
  <si>
    <t>Suxcus</t>
  </si>
  <si>
    <t xml:space="preserve">Suresh sir </t>
  </si>
  <si>
    <t xml:space="preserve"> muthupandi</t>
  </si>
  <si>
    <t>May 18th</t>
  </si>
  <si>
    <t>Srinivasan Tambaram</t>
  </si>
  <si>
    <t>May 20th</t>
  </si>
  <si>
    <t>Manikandan</t>
  </si>
  <si>
    <t>Poovendhan</t>
  </si>
  <si>
    <t>May 21th</t>
  </si>
  <si>
    <t>Ajay Rajan</t>
  </si>
  <si>
    <t>May 22rd</t>
  </si>
  <si>
    <t>May 23rd</t>
  </si>
  <si>
    <t>May 25th</t>
  </si>
  <si>
    <t>Dtoc</t>
  </si>
  <si>
    <t>May 27th</t>
  </si>
  <si>
    <t>Vimal jebaraj</t>
  </si>
  <si>
    <t>Mark.G</t>
  </si>
  <si>
    <t>Aravind optimal minds</t>
  </si>
  <si>
    <t>Abirami.V</t>
  </si>
  <si>
    <t>Rokesh Harish.E</t>
  </si>
  <si>
    <t>Srinivasan.R</t>
  </si>
  <si>
    <t>Raja Rajan</t>
  </si>
  <si>
    <t>Akshay cholai</t>
  </si>
  <si>
    <t>Nikitha Kataruka</t>
  </si>
  <si>
    <t>May21th</t>
  </si>
  <si>
    <t>Balaji sankarnarayan</t>
  </si>
  <si>
    <t>Priyavarshini Tirumavalavan</t>
  </si>
  <si>
    <t>Priyadharshini.T</t>
  </si>
  <si>
    <t>May26th</t>
  </si>
  <si>
    <t>Krishna prasad. VSR</t>
  </si>
  <si>
    <t>May 26th</t>
  </si>
  <si>
    <t>Aahisivam</t>
  </si>
  <si>
    <t>Priyadarshini.R</t>
  </si>
  <si>
    <t>May19th</t>
  </si>
  <si>
    <t>7420, 5410, 440G8, 440G8</t>
  </si>
  <si>
    <t>5410, 440G8, Dyna</t>
  </si>
  <si>
    <t>15-11/i7-10/16/512</t>
  </si>
  <si>
    <t>15-11/i7-10/11|16|512</t>
  </si>
  <si>
    <t>JBB</t>
  </si>
  <si>
    <t>HP 250 G8</t>
  </si>
  <si>
    <t>I7-11th GEN/ 16GB RAM/ 512 SSD</t>
  </si>
  <si>
    <t>30/5/26</t>
  </si>
  <si>
    <t>Koteeswari ( Nerkundram)[Naveen kumar]</t>
  </si>
  <si>
    <t>29/5/26</t>
  </si>
  <si>
    <t>May 29th</t>
  </si>
  <si>
    <t>Aravindan.B</t>
  </si>
  <si>
    <t>Seon Raj.NB</t>
  </si>
  <si>
    <t>Muktha</t>
  </si>
  <si>
    <t>Niranjan.GR</t>
  </si>
  <si>
    <t>May28th</t>
  </si>
  <si>
    <t>May 30th</t>
  </si>
  <si>
    <t>Malarvizhi</t>
  </si>
  <si>
    <t>Middle East Fluid Treatment PVT LTD -Bio-matric</t>
  </si>
  <si>
    <t>7*1000/1400*7/1500*3</t>
  </si>
  <si>
    <t>thinagaran.t@marketsof1.com</t>
  </si>
  <si>
    <t>info@eminentenggs.com
princy.n@eminentenggs.com</t>
  </si>
  <si>
    <t>vignesh.fas@gmail.com</t>
  </si>
  <si>
    <t>nagarajan@nirvaanacs.com</t>
  </si>
  <si>
    <t>31/5/26</t>
  </si>
  <si>
    <t>May31th</t>
  </si>
  <si>
    <t>Dell precision 7550</t>
  </si>
  <si>
    <t>I7-11th GEN/16GBRAM/512 SSD</t>
  </si>
  <si>
    <t>Dell Latitude 7420,Dynabook</t>
  </si>
  <si>
    <t>KAN[ SomTech]</t>
  </si>
  <si>
    <t>monitor,desktop,kb,mouse 3 setI3-</t>
  </si>
  <si>
    <t>I3-2rd GEN/8GB RAM/ 512 &amp; 256 SSD</t>
  </si>
  <si>
    <t>ksassociates 2007@gmail.com</t>
  </si>
  <si>
    <t xml:space="preserve">Jagadesan kk nagar </t>
  </si>
  <si>
    <t>june 1st</t>
  </si>
  <si>
    <t>khan[som TECH]</t>
  </si>
  <si>
    <t>June 2rd</t>
  </si>
  <si>
    <t>Qura prem</t>
  </si>
  <si>
    <t>April+May+screen broken</t>
  </si>
  <si>
    <t>Radha.R</t>
  </si>
  <si>
    <t>karthick [Brito]</t>
  </si>
  <si>
    <t>Monisha.S</t>
  </si>
  <si>
    <t>Rashee carees</t>
  </si>
  <si>
    <t>Ranjith ravindran</t>
  </si>
  <si>
    <t xml:space="preserve"> accountspayable@thubiq.com,
Kannan Venkatesan &lt;kannanv@transcriptionhub.com&gt;,
balachandarb@e24tech.in</t>
  </si>
  <si>
    <t>silky_mittal@executivecentre.com</t>
  </si>
  <si>
    <t>accounts@rythmbusiness.com, chandra@rythmbusiness.com</t>
  </si>
  <si>
    <t>Accounting@arivu-iq.com</t>
  </si>
  <si>
    <t>Returned [3/6/26]</t>
  </si>
  <si>
    <t>June 4th</t>
  </si>
  <si>
    <t>Tarun mervyn</t>
  </si>
  <si>
    <t>june 3rd</t>
  </si>
  <si>
    <t xml:space="preserve">BATZE </t>
  </si>
  <si>
    <t>RETURNED</t>
  </si>
  <si>
    <t>Famitha</t>
  </si>
  <si>
    <t>I7-8th GEN/16GB RAM/512 GB SSD</t>
  </si>
  <si>
    <t>I5-8th GEN/ 8GB RAM/ 256 GB SSD</t>
  </si>
  <si>
    <t>HP 250B G8 Laptop</t>
  </si>
  <si>
    <t>I5-11th GEN/ 8 GB RAM/ 256 GB SSD</t>
  </si>
  <si>
    <t>MUGAT Vasudevan.R</t>
  </si>
  <si>
    <t>I5-11th GEN/ 8GB RAM/ 256 GB SSD</t>
  </si>
  <si>
    <t>Famitha  - Medavakkam - Workstation</t>
  </si>
  <si>
    <t>Priya -Virt Infra PVT. Ltd</t>
  </si>
  <si>
    <t>Mukund Vasudhavan -Pallavaram</t>
  </si>
  <si>
    <t>Manikandan.N ( Adambakkam)</t>
  </si>
  <si>
    <t>Srinivasan.J ( Pozhichalur)</t>
  </si>
  <si>
    <t>Returned  [5/6/26]</t>
  </si>
  <si>
    <t>Rehan [Joro systems private limited</t>
  </si>
  <si>
    <t>I7-8th GEN/32GB RAM/512 GB SSD</t>
  </si>
  <si>
    <t xml:space="preserve">         OUT </t>
  </si>
  <si>
    <t>301,302,303, 401,402</t>
  </si>
  <si>
    <t>DC</t>
  </si>
  <si>
    <t>Priya.A [Vrit infra developers]</t>
  </si>
  <si>
    <t>Prasanth.P[ Velacherry]</t>
  </si>
  <si>
    <t xml:space="preserve">Laptop Lenovo Thinkpad </t>
  </si>
  <si>
    <t>Rayees basha sulaiman [ Madipakkam]</t>
  </si>
  <si>
    <t>Laptop Dell ultra book</t>
  </si>
  <si>
    <t>I7-11th GEN/ 16GB RAM/ 500 GB SSD</t>
  </si>
  <si>
    <t>Lenovo Thinkpad L14,T490S,T480S,</t>
  </si>
  <si>
    <t>Kokilavani, [choolaimedu]</t>
  </si>
  <si>
    <t>i5-8th GEN/16GB RAM/256 GB SSD</t>
  </si>
  <si>
    <t>I5-8th GEN/8GB RAM/256 GB SSD</t>
  </si>
  <si>
    <t>Laptop Lenovo Think pad T490S</t>
  </si>
  <si>
    <t>I5-8th GEN/16GB RAM/256 GB SSD</t>
  </si>
  <si>
    <t>it@pskgroup.co.in</t>
  </si>
  <si>
    <t>karthi Brito</t>
  </si>
  <si>
    <t>HUDSMER</t>
  </si>
  <si>
    <t>I7-11th GEN/16GB RAM/ 256 GB SSD</t>
  </si>
  <si>
    <t>MAC BOOK</t>
  </si>
  <si>
    <t>Malini -brother</t>
  </si>
  <si>
    <t>VRIT infra Priya.A</t>
  </si>
  <si>
    <t xml:space="preserve">Rayees basha sulaiman </t>
  </si>
  <si>
    <t>Kokilavani choolaimedu</t>
  </si>
  <si>
    <t>Prasanth [velacherry]</t>
  </si>
  <si>
    <t>Cadd emirates</t>
  </si>
  <si>
    <t>Laptop HP Elite book 640 14 inch G9 NB PC</t>
  </si>
  <si>
    <t>I5-12th GEN/ 16GB RAM/256 GB SSD</t>
  </si>
  <si>
    <t>I7-11th GEN/ 16 GB RAM/ 512 SSD</t>
  </si>
  <si>
    <t>2 +1</t>
  </si>
  <si>
    <t>Toshiba Dynabook, Dell Laptop</t>
  </si>
  <si>
    <t>LGR Creatives [ Niranjan]</t>
  </si>
  <si>
    <t>Lenovo T490</t>
  </si>
  <si>
    <t>I5-8th GEN/ 16 GB RAM/ 256 GB SSD</t>
  </si>
  <si>
    <t>Muthu kun Aero</t>
  </si>
  <si>
    <t>I7-11th GEN/ 16GB RAM/ 256 GB SSD</t>
  </si>
  <si>
    <t>Muthu -Kun</t>
  </si>
  <si>
    <t>Niranjan - LGR</t>
  </si>
  <si>
    <t>KHAN [SOMTECH Computer] -DPI - Nungambakkam</t>
  </si>
  <si>
    <t>Devki Nandan Bansal - Cholai --Workstation</t>
  </si>
  <si>
    <t>Buvaraghavan -- Porur -- Monitor</t>
  </si>
  <si>
    <t>Muktha Vanshi Kumari - Workstation</t>
  </si>
  <si>
    <t>Nireen Bharathi  - Ariuv</t>
  </si>
  <si>
    <t>SILLY WISDUM PRIVATE LIMITED  - workstation</t>
  </si>
  <si>
    <t>fifth Angel Studio  - workstation</t>
  </si>
  <si>
    <t>BATZE MOBILITY PRIVATE LIMITED  - workstation</t>
  </si>
  <si>
    <t>CADD EMIRATES INDIA PRIVATE LIMITED  - workstation</t>
  </si>
  <si>
    <t>Vimal Jebaraj ( Kolathur &amp; GKM colony) -  - workstation</t>
  </si>
  <si>
    <t>Sakthi / Deepan Raj  -  - workstation ( Thiruverkadu)9042264206 ( f)</t>
  </si>
  <si>
    <t>Brand Hungers ( 7200803383)</t>
  </si>
  <si>
    <t>YMCA  added in DEC  - workstation</t>
  </si>
  <si>
    <t>Murphy Vignesh ( Ayyapakkam)  - workstation</t>
  </si>
  <si>
    <t>Prabakaran Palo ( Nanganallur) -  - workstation</t>
  </si>
  <si>
    <t>14/6/26</t>
  </si>
  <si>
    <t>13/6/26</t>
  </si>
  <si>
    <t>Sribnivasan polichalur</t>
  </si>
  <si>
    <t>Srinivasan.j</t>
  </si>
  <si>
    <t>Famitha Begum.J</t>
  </si>
  <si>
    <t>Mukundan</t>
  </si>
  <si>
    <t>June 5th</t>
  </si>
  <si>
    <t>Murphy Raj.A</t>
  </si>
  <si>
    <t>15/6/26</t>
  </si>
  <si>
    <t>Varun Ganthi [ Metha Nagar]</t>
  </si>
  <si>
    <t>16/6/26</t>
  </si>
  <si>
    <t>Varun Gandhi [Metha Nagar]</t>
  </si>
  <si>
    <t>Lenovo Thinkpad T480</t>
  </si>
  <si>
    <t>I7-8th GEN/ 16GB RAM/512 GB SSD</t>
  </si>
  <si>
    <t>TDD CONNEX</t>
  </si>
  <si>
    <t>15/6/26 Returned</t>
  </si>
  <si>
    <t>14/6/26 Returned</t>
  </si>
  <si>
    <t>17/6/26</t>
  </si>
  <si>
    <t>18/6/26</t>
  </si>
  <si>
    <t>20/6/26</t>
  </si>
  <si>
    <t>Bhuvanashwari -Perumbakkam - one week</t>
  </si>
  <si>
    <t>19/6/26</t>
  </si>
  <si>
    <t>18/6/2026</t>
  </si>
  <si>
    <t>Kiran Kumar -Mac laptop</t>
  </si>
  <si>
    <t>ranjani@many2go.com finance@many2go.com hr@many2go.com</t>
  </si>
  <si>
    <t>JBB SOFTJBB SOFTECH PRIVATE LIMITED</t>
  </si>
  <si>
    <t>Bharath kumar -Pallikaranai - workstation</t>
  </si>
  <si>
    <t>Balaji Palavantagal</t>
  </si>
  <si>
    <t>22/6/26</t>
  </si>
  <si>
    <t>21/6/26</t>
  </si>
  <si>
    <t>MALINI SELVARAJ  - karnikar Street [9566160306]</t>
  </si>
  <si>
    <t>KEZIA --Medavakkam  [ 988475540]</t>
  </si>
  <si>
    <t>Laptop HP Elitebook 840 G6</t>
  </si>
  <si>
    <t>OUT for Replacement 507</t>
  </si>
  <si>
    <t>Laptop Dell precision 7530</t>
  </si>
  <si>
    <t>I7-8th GEN/ 24GB RAM</t>
  </si>
  <si>
    <t>Graphics card NVIDIA quadro P3200 6 GB</t>
  </si>
  <si>
    <t>DMH INDIAN INFRA PRIVATE</t>
  </si>
  <si>
    <t>Kiran kumar</t>
  </si>
  <si>
    <t>MAC BOOK pro</t>
  </si>
  <si>
    <t>I7-16 GB[ password 1234</t>
  </si>
  <si>
    <t>582,507, 526,560,606</t>
  </si>
  <si>
    <t>Lenovo Thinkpad T480 3, T490 1, L14</t>
  </si>
  <si>
    <t xml:space="preserve"> Dell Laptop 7420</t>
  </si>
  <si>
    <t>691, 556</t>
  </si>
  <si>
    <t>JARO INSTITUE OF TECHNOLOGY</t>
  </si>
  <si>
    <t>Bhuvaneswari</t>
  </si>
  <si>
    <t xml:space="preserve">I7-11th GEN/16GB RAM/ 256 SSD </t>
  </si>
  <si>
    <t xml:space="preserve">Lenovo &amp; Dyna </t>
  </si>
  <si>
    <t>Aravind Kumar Gopalakrishnan</t>
  </si>
  <si>
    <t>Dell monitor 24 Inch SLNO: CN-00YYK2</t>
  </si>
  <si>
    <t>Balaji Pharma enterprises</t>
  </si>
  <si>
    <t>Dell Monitor 24 Inch SLNO:SE2726D</t>
  </si>
  <si>
    <t>DMH INDIAN INFRA PRIVATE LIMITED - workstation</t>
  </si>
  <si>
    <t>LGR creatives ( Niranjan) 4500+3750+4000 workstartion +1600</t>
  </si>
  <si>
    <t>1650+4000</t>
  </si>
  <si>
    <t xml:space="preserve">Aravind kumar Gopalakrishnan </t>
  </si>
  <si>
    <t>Balaji pharmacy Enterprises</t>
  </si>
  <si>
    <t>DR.Mohendri Das</t>
  </si>
  <si>
    <t>24/6/26</t>
  </si>
  <si>
    <t>25/6/26</t>
  </si>
  <si>
    <t>26/6/26</t>
  </si>
  <si>
    <t>admin@ppms.in</t>
  </si>
  <si>
    <t>manikandan.a@batzemobility.com</t>
  </si>
  <si>
    <t>27/6/26</t>
  </si>
  <si>
    <t>BASKER Reddy</t>
  </si>
  <si>
    <t>Satish K - Manipakkam</t>
  </si>
  <si>
    <t>99418 03404</t>
  </si>
  <si>
    <t>Gayathri_kulathur</t>
  </si>
  <si>
    <t>BABU V &amp; SANJAY - Workstation</t>
  </si>
  <si>
    <t>11/6/26 - 29/6/26</t>
  </si>
  <si>
    <t>11/6/2026 - 27/6/26</t>
  </si>
  <si>
    <t>paid till 3rd july</t>
  </si>
  <si>
    <t>9600+3200</t>
  </si>
  <si>
    <t>1/6/2026 -29/6/26</t>
  </si>
  <si>
    <t>5th july return</t>
  </si>
  <si>
    <t>Krishna prasad VSR - pour</t>
  </si>
  <si>
    <t>28/6/26</t>
  </si>
  <si>
    <t>29/6/26</t>
  </si>
  <si>
    <t>3/6/26 - 30/6/26</t>
  </si>
  <si>
    <t>0ne laptop retuned 25/6</t>
  </si>
  <si>
    <t>Priyavarshini Thirumavalavan  - Manapakkam</t>
  </si>
  <si>
    <t>Priyavarshini Thirumavalavan - Manapakkam</t>
  </si>
  <si>
    <t>30/6 Returned</t>
  </si>
  <si>
    <t>Returned 02/7/26</t>
  </si>
  <si>
    <t>Balaji pharmacy Enterprises - monitor</t>
  </si>
  <si>
    <t>Aravind kumar Gopalakrishnan Kodampakkam  - monitor</t>
  </si>
  <si>
    <t>LGR creatives ( workstartion) 4500+3750+4000 +1600</t>
  </si>
  <si>
    <t>30/6/26</t>
  </si>
  <si>
    <t>Retruned</t>
  </si>
  <si>
    <t>BABU V &amp; SANJAY - cintataripet  Workstation</t>
  </si>
  <si>
    <t>BASKER Reddy - Choolaimedu</t>
  </si>
  <si>
    <t>Satish K - Manipakkam - Dell i7</t>
  </si>
  <si>
    <t>15.02.26</t>
  </si>
  <si>
    <t>silky_mittal@executivecentre.com; communication@waiipod.com</t>
  </si>
  <si>
    <t xml:space="preserve">MALINI SELVARAJ  - karnikar Street </t>
  </si>
  <si>
    <t>Returned [5/7/26]</t>
  </si>
  <si>
    <t>JARO INSTITUTE</t>
  </si>
  <si>
    <t xml:space="preserve">Returned </t>
  </si>
  <si>
    <t>Lenovo L14 Gen1, Lenovo Thinkpad T490</t>
  </si>
  <si>
    <t>I5-8th GEN/ 10th Gen/16 GB RAM/ 256 SSD</t>
  </si>
  <si>
    <t>OUT For replacement 708 507</t>
  </si>
  <si>
    <t>june 5th</t>
  </si>
  <si>
    <t>june 4th</t>
  </si>
  <si>
    <t>Ramya Elumalai</t>
  </si>
  <si>
    <t>Shamika</t>
  </si>
  <si>
    <t>july 5th Returned</t>
  </si>
  <si>
    <t>June 6th Returned</t>
  </si>
  <si>
    <t>hr.vritinfra@gmail.com</t>
  </si>
  <si>
    <t>13/7/26</t>
  </si>
  <si>
    <t>cash to sai</t>
  </si>
  <si>
    <t>17/7/26</t>
  </si>
  <si>
    <t>15/7/26</t>
  </si>
  <si>
    <t>3 system returned</t>
  </si>
  <si>
    <t>Paid for the month of</t>
  </si>
  <si>
    <t>June</t>
  </si>
  <si>
    <t>15/7/2026</t>
  </si>
  <si>
    <t>9th july</t>
  </si>
  <si>
    <t>8th july</t>
  </si>
  <si>
    <t>4th July</t>
  </si>
  <si>
    <t>Kiran Kumar -Anna Nagar</t>
  </si>
  <si>
    <t>Mac 1000+5000\</t>
  </si>
  <si>
    <t>DR.Mohendri Das - Mugalivakkam</t>
  </si>
  <si>
    <t xml:space="preserve"> STAR ANGELS BEAUTY ACADEMY -Guindy -15 days</t>
  </si>
  <si>
    <t>Vigneswaran.M - Thiruverkadu -10 days</t>
  </si>
  <si>
    <t>14/7/26</t>
  </si>
  <si>
    <t>VIJAYARAGHAVAN KASINATHAN  - Imac M2</t>
  </si>
  <si>
    <t>Qura _ 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</si>
</sst>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2060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222222"/>
      <name val="Arial"/>
      <family val="2"/>
    </font>
    <font>
      <sz val="14"/>
      <color rgb="FF202432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35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/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Fill="1" applyBorder="1"/>
    <xf numFmtId="0" fontId="10" fillId="0" borderId="2" xfId="0" applyFont="1" applyFill="1" applyBorder="1"/>
    <xf numFmtId="0" fontId="9" fillId="0" borderId="0" xfId="0" applyFont="1"/>
    <xf numFmtId="0" fontId="11" fillId="0" borderId="0" xfId="0" applyFont="1"/>
    <xf numFmtId="0" fontId="8" fillId="0" borderId="0" xfId="0" applyFont="1"/>
    <xf numFmtId="0" fontId="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/>
    <xf numFmtId="0" fontId="1" fillId="0" borderId="0" xfId="0" applyFont="1" applyFill="1" applyBorder="1"/>
    <xf numFmtId="0" fontId="4" fillId="0" borderId="1" xfId="0" applyFont="1" applyFill="1" applyBorder="1" applyAlignment="1"/>
    <xf numFmtId="3" fontId="10" fillId="0" borderId="0" xfId="0" applyNumberFormat="1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Border="1"/>
    <xf numFmtId="0" fontId="2" fillId="0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/>
    <xf numFmtId="0" fontId="4" fillId="4" borderId="0" xfId="0" applyFont="1" applyFill="1" applyAlignment="1">
      <alignment horizontal="center"/>
    </xf>
    <xf numFmtId="0" fontId="0" fillId="3" borderId="0" xfId="0" applyFill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0" xfId="0" applyFont="1"/>
    <xf numFmtId="0" fontId="10" fillId="0" borderId="1" xfId="0" applyFont="1" applyBorder="1"/>
    <xf numFmtId="0" fontId="1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0" xfId="0" applyFont="1"/>
    <xf numFmtId="0" fontId="19" fillId="0" borderId="2" xfId="0" applyFont="1" applyFill="1" applyBorder="1"/>
    <xf numFmtId="0" fontId="19" fillId="0" borderId="0" xfId="0" applyFont="1" applyFill="1" applyBorder="1"/>
    <xf numFmtId="0" fontId="19" fillId="2" borderId="2" xfId="0" applyFont="1" applyFill="1" applyBorder="1"/>
    <xf numFmtId="0" fontId="20" fillId="0" borderId="1" xfId="0" applyFont="1" applyBorder="1" applyAlignment="1">
      <alignment horizontal="center"/>
    </xf>
    <xf numFmtId="0" fontId="19" fillId="0" borderId="1" xfId="0" applyFont="1" applyBorder="1"/>
    <xf numFmtId="0" fontId="19" fillId="2" borderId="0" xfId="0" applyFont="1" applyFill="1"/>
    <xf numFmtId="0" fontId="20" fillId="0" borderId="0" xfId="0" applyFont="1" applyFill="1" applyBorder="1"/>
    <xf numFmtId="0" fontId="19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10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21" fillId="2" borderId="0" xfId="0" applyFont="1" applyFill="1"/>
    <xf numFmtId="3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9" fillId="2" borderId="0" xfId="0" applyFont="1" applyFill="1" applyBorder="1"/>
    <xf numFmtId="0" fontId="5" fillId="0" borderId="1" xfId="0" applyFont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3" fontId="22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19" fillId="3" borderId="0" xfId="0" applyFont="1" applyFill="1"/>
    <xf numFmtId="0" fontId="10" fillId="2" borderId="1" xfId="0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0" fillId="0" borderId="0" xfId="0" applyFont="1"/>
    <xf numFmtId="0" fontId="8" fillId="5" borderId="0" xfId="0" applyFont="1" applyFill="1"/>
    <xf numFmtId="0" fontId="19" fillId="0" borderId="1" xfId="0" applyFont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0" borderId="1" xfId="0" applyFont="1" applyFill="1" applyBorder="1"/>
    <xf numFmtId="0" fontId="19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3" borderId="1" xfId="0" applyFont="1" applyFill="1" applyBorder="1"/>
    <xf numFmtId="0" fontId="24" fillId="0" borderId="0" xfId="0" applyFont="1"/>
    <xf numFmtId="0" fontId="23" fillId="0" borderId="1" xfId="0" applyFont="1" applyBorder="1"/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4" fillId="3" borderId="1" xfId="0" applyFont="1" applyFill="1" applyBorder="1" applyAlignment="1">
      <alignment horizontal="center"/>
    </xf>
    <xf numFmtId="0" fontId="24" fillId="0" borderId="0" xfId="0" applyFont="1" applyFill="1" applyBorder="1"/>
    <xf numFmtId="0" fontId="9" fillId="2" borderId="1" xfId="0" applyFont="1" applyFill="1" applyBorder="1" applyAlignment="1">
      <alignment horizontal="center"/>
    </xf>
    <xf numFmtId="0" fontId="19" fillId="0" borderId="0" xfId="0" applyFont="1" applyBorder="1"/>
    <xf numFmtId="0" fontId="19" fillId="0" borderId="2" xfId="0" applyFont="1" applyBorder="1"/>
    <xf numFmtId="0" fontId="1" fillId="3" borderId="0" xfId="0" applyFont="1" applyFill="1"/>
    <xf numFmtId="0" fontId="10" fillId="0" borderId="0" xfId="0" applyFont="1" applyFill="1" applyBorder="1"/>
    <xf numFmtId="0" fontId="27" fillId="2" borderId="0" xfId="0" applyFont="1" applyFill="1"/>
    <xf numFmtId="0" fontId="19" fillId="0" borderId="1" xfId="0" applyFont="1" applyBorder="1" applyAlignment="1">
      <alignment horizontal="right"/>
    </xf>
    <xf numFmtId="0" fontId="21" fillId="3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/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8" fillId="0" borderId="0" xfId="0" applyFont="1" applyBorder="1"/>
    <xf numFmtId="0" fontId="28" fillId="0" borderId="0" xfId="0" applyFont="1"/>
    <xf numFmtId="0" fontId="28" fillId="0" borderId="2" xfId="0" applyFont="1" applyFill="1" applyBorder="1"/>
    <xf numFmtId="0" fontId="4" fillId="0" borderId="0" xfId="0" applyFont="1" applyBorder="1"/>
    <xf numFmtId="0" fontId="4" fillId="0" borderId="0" xfId="0" applyFont="1"/>
    <xf numFmtId="0" fontId="4" fillId="3" borderId="0" xfId="0" applyFont="1" applyFill="1" applyBorder="1" applyAlignment="1">
      <alignment horizontal="left"/>
    </xf>
    <xf numFmtId="0" fontId="1" fillId="0" borderId="3" xfId="0" applyFont="1" applyBorder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/>
    <xf numFmtId="0" fontId="10" fillId="6" borderId="0" xfId="0" applyFont="1" applyFill="1" applyBorder="1" applyAlignment="1">
      <alignment horizontal="center"/>
    </xf>
    <xf numFmtId="0" fontId="10" fillId="2" borderId="0" xfId="0" applyFont="1" applyFill="1" applyBorder="1" applyAlignment="1"/>
    <xf numFmtId="0" fontId="10" fillId="4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6" fillId="0" borderId="0" xfId="0" applyFont="1"/>
    <xf numFmtId="0" fontId="10" fillId="0" borderId="1" xfId="0" applyFont="1" applyFill="1" applyBorder="1"/>
    <xf numFmtId="0" fontId="6" fillId="0" borderId="1" xfId="0" applyFont="1" applyBorder="1"/>
    <xf numFmtId="0" fontId="9" fillId="0" borderId="1" xfId="0" applyFont="1" applyBorder="1"/>
    <xf numFmtId="0" fontId="0" fillId="2" borderId="1" xfId="0" applyFill="1" applyBorder="1"/>
    <xf numFmtId="0" fontId="29" fillId="7" borderId="1" xfId="0" applyFont="1" applyFill="1" applyBorder="1"/>
    <xf numFmtId="0" fontId="29" fillId="7" borderId="1" xfId="0" applyFont="1" applyFill="1" applyBorder="1" applyAlignment="1">
      <alignment horizontal="center"/>
    </xf>
    <xf numFmtId="0" fontId="30" fillId="0" borderId="1" xfId="0" applyFont="1" applyBorder="1"/>
    <xf numFmtId="0" fontId="30" fillId="0" borderId="1" xfId="0" applyFont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31" fillId="0" borderId="1" xfId="0" applyFont="1" applyBorder="1"/>
    <xf numFmtId="0" fontId="32" fillId="0" borderId="1" xfId="0" applyFont="1" applyFill="1" applyBorder="1"/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0" fontId="32" fillId="3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0" borderId="1" xfId="0" applyFont="1" applyBorder="1"/>
    <xf numFmtId="0" fontId="32" fillId="3" borderId="1" xfId="0" applyFont="1" applyFill="1" applyBorder="1"/>
    <xf numFmtId="0" fontId="32" fillId="7" borderId="1" xfId="0" applyFont="1" applyFill="1" applyBorder="1"/>
    <xf numFmtId="0" fontId="32" fillId="7" borderId="0" xfId="0" applyFont="1" applyFill="1"/>
    <xf numFmtId="0" fontId="30" fillId="0" borderId="1" xfId="0" applyFont="1" applyFill="1" applyBorder="1"/>
    <xf numFmtId="0" fontId="30" fillId="0" borderId="0" xfId="0" applyFont="1"/>
    <xf numFmtId="0" fontId="32" fillId="0" borderId="0" xfId="0" applyFont="1"/>
    <xf numFmtId="0" fontId="30" fillId="0" borderId="1" xfId="0" applyFont="1" applyBorder="1" applyAlignment="1">
      <alignment horizontal="left"/>
    </xf>
    <xf numFmtId="0" fontId="31" fillId="0" borderId="0" xfId="0" applyFont="1"/>
    <xf numFmtId="0" fontId="32" fillId="3" borderId="0" xfId="0" applyFont="1" applyFill="1"/>
    <xf numFmtId="0" fontId="29" fillId="2" borderId="1" xfId="0" applyFont="1" applyFill="1" applyBorder="1"/>
    <xf numFmtId="0" fontId="32" fillId="0" borderId="4" xfId="0" applyFont="1" applyBorder="1"/>
    <xf numFmtId="0" fontId="31" fillId="0" borderId="0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32" fillId="0" borderId="0" xfId="0" applyFont="1" applyBorder="1"/>
    <xf numFmtId="0" fontId="32" fillId="0" borderId="0" xfId="0" applyFont="1" applyBorder="1" applyAlignment="1">
      <alignment horizontal="center"/>
    </xf>
    <xf numFmtId="0" fontId="32" fillId="0" borderId="0" xfId="0" applyFont="1" applyAlignment="1">
      <alignment horizontal="center"/>
    </xf>
    <xf numFmtId="3" fontId="30" fillId="3" borderId="1" xfId="0" applyNumberFormat="1" applyFont="1" applyFill="1" applyBorder="1" applyAlignment="1">
      <alignment horizontal="center"/>
    </xf>
    <xf numFmtId="0" fontId="32" fillId="2" borderId="1" xfId="0" applyFont="1" applyFill="1" applyBorder="1"/>
    <xf numFmtId="0" fontId="32" fillId="0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32" fillId="2" borderId="1" xfId="0" applyNumberFormat="1" applyFont="1" applyFill="1" applyBorder="1" applyAlignment="1">
      <alignment horizontal="center"/>
    </xf>
    <xf numFmtId="0" fontId="32" fillId="2" borderId="0" xfId="0" applyFont="1" applyFill="1"/>
    <xf numFmtId="0" fontId="31" fillId="0" borderId="1" xfId="0" applyFont="1" applyBorder="1" applyAlignment="1">
      <alignment horizontal="left"/>
    </xf>
    <xf numFmtId="0" fontId="34" fillId="0" borderId="1" xfId="0" applyFont="1" applyFill="1" applyBorder="1"/>
    <xf numFmtId="0" fontId="35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5" fillId="0" borderId="1" xfId="0" applyFont="1" applyBorder="1"/>
    <xf numFmtId="0" fontId="34" fillId="0" borderId="1" xfId="0" applyFont="1" applyBorder="1"/>
    <xf numFmtId="0" fontId="34" fillId="0" borderId="0" xfId="0" applyFont="1"/>
    <xf numFmtId="14" fontId="34" fillId="0" borderId="1" xfId="0" applyNumberFormat="1" applyFont="1" applyBorder="1" applyAlignment="1">
      <alignment horizontal="center"/>
    </xf>
    <xf numFmtId="0" fontId="32" fillId="6" borderId="1" xfId="0" applyFont="1" applyFill="1" applyBorder="1"/>
    <xf numFmtId="0" fontId="32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/>
    <xf numFmtId="0" fontId="0" fillId="6" borderId="0" xfId="0" applyFill="1"/>
    <xf numFmtId="14" fontId="32" fillId="6" borderId="1" xfId="0" applyNumberFormat="1" applyFont="1" applyFill="1" applyBorder="1" applyAlignment="1">
      <alignment horizontal="center"/>
    </xf>
    <xf numFmtId="0" fontId="32" fillId="6" borderId="0" xfId="0" applyFont="1" applyFill="1"/>
    <xf numFmtId="0" fontId="34" fillId="3" borderId="1" xfId="0" applyFont="1" applyFill="1" applyBorder="1" applyAlignment="1">
      <alignment horizontal="center"/>
    </xf>
    <xf numFmtId="14" fontId="32" fillId="0" borderId="1" xfId="0" applyNumberFormat="1" applyFont="1" applyBorder="1" applyAlignment="1">
      <alignment horizontal="center"/>
    </xf>
    <xf numFmtId="14" fontId="32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0" fontId="32" fillId="0" borderId="0" xfId="0" applyFont="1" applyFill="1"/>
    <xf numFmtId="3" fontId="32" fillId="0" borderId="1" xfId="0" applyNumberFormat="1" applyFont="1" applyBorder="1"/>
    <xf numFmtId="0" fontId="32" fillId="8" borderId="1" xfId="0" applyFont="1" applyFill="1" applyBorder="1" applyAlignment="1">
      <alignment horizontal="center"/>
    </xf>
    <xf numFmtId="0" fontId="32" fillId="8" borderId="1" xfId="0" applyFont="1" applyFill="1" applyBorder="1"/>
    <xf numFmtId="0" fontId="0" fillId="8" borderId="1" xfId="0" applyFill="1" applyBorder="1"/>
    <xf numFmtId="0" fontId="32" fillId="8" borderId="0" xfId="0" applyFont="1" applyFill="1"/>
    <xf numFmtId="0" fontId="0" fillId="3" borderId="1" xfId="0" applyFill="1" applyBorder="1"/>
    <xf numFmtId="0" fontId="2" fillId="6" borderId="1" xfId="0" applyFont="1" applyFill="1" applyBorder="1"/>
    <xf numFmtId="14" fontId="30" fillId="0" borderId="1" xfId="0" applyNumberFormat="1" applyFont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32" fillId="0" borderId="5" xfId="0" applyFont="1" applyBorder="1"/>
    <xf numFmtId="0" fontId="32" fillId="0" borderId="5" xfId="0" applyFont="1" applyBorder="1" applyAlignment="1">
      <alignment horizontal="center"/>
    </xf>
    <xf numFmtId="0" fontId="0" fillId="0" borderId="5" xfId="0" applyBorder="1"/>
    <xf numFmtId="0" fontId="34" fillId="8" borderId="1" xfId="0" applyFont="1" applyFill="1" applyBorder="1" applyAlignment="1">
      <alignment horizontal="center"/>
    </xf>
    <xf numFmtId="0" fontId="34" fillId="8" borderId="1" xfId="0" applyFont="1" applyFill="1" applyBorder="1"/>
    <xf numFmtId="0" fontId="14" fillId="8" borderId="1" xfId="0" applyFont="1" applyFill="1" applyBorder="1"/>
    <xf numFmtId="0" fontId="34" fillId="8" borderId="0" xfId="0" applyFont="1" applyFill="1"/>
    <xf numFmtId="0" fontId="27" fillId="9" borderId="1" xfId="0" applyFont="1" applyFill="1" applyBorder="1"/>
    <xf numFmtId="0" fontId="34" fillId="3" borderId="1" xfId="0" applyFont="1" applyFill="1" applyBorder="1"/>
    <xf numFmtId="0" fontId="14" fillId="3" borderId="1" xfId="0" applyFont="1" applyFill="1" applyBorder="1"/>
    <xf numFmtId="0" fontId="34" fillId="3" borderId="0" xfId="0" applyFont="1" applyFill="1"/>
    <xf numFmtId="14" fontId="32" fillId="3" borderId="1" xfId="0" applyNumberFormat="1" applyFont="1" applyFill="1" applyBorder="1" applyAlignment="1">
      <alignment horizontal="center"/>
    </xf>
    <xf numFmtId="14" fontId="34" fillId="3" borderId="1" xfId="0" applyNumberFormat="1" applyFont="1" applyFill="1" applyBorder="1" applyAlignment="1">
      <alignment horizontal="center"/>
    </xf>
    <xf numFmtId="0" fontId="35" fillId="3" borderId="1" xfId="0" applyFont="1" applyFill="1" applyBorder="1"/>
    <xf numFmtId="0" fontId="10" fillId="3" borderId="1" xfId="0" applyFont="1" applyFill="1" applyBorder="1"/>
    <xf numFmtId="0" fontId="30" fillId="3" borderId="1" xfId="0" applyFont="1" applyFill="1" applyBorder="1"/>
    <xf numFmtId="0" fontId="30" fillId="3" borderId="1" xfId="0" applyFont="1" applyFill="1" applyBorder="1" applyAlignment="1">
      <alignment horizontal="left"/>
    </xf>
    <xf numFmtId="0" fontId="30" fillId="3" borderId="0" xfId="0" applyFont="1" applyFill="1"/>
    <xf numFmtId="0" fontId="2" fillId="3" borderId="1" xfId="0" applyFont="1" applyFill="1" applyBorder="1"/>
    <xf numFmtId="0" fontId="33" fillId="3" borderId="1" xfId="0" applyFont="1" applyFill="1" applyBorder="1"/>
    <xf numFmtId="0" fontId="32" fillId="3" borderId="5" xfId="0" applyFont="1" applyFill="1" applyBorder="1"/>
    <xf numFmtId="0" fontId="32" fillId="3" borderId="5" xfId="0" applyFont="1" applyFill="1" applyBorder="1" applyAlignment="1">
      <alignment horizontal="center"/>
    </xf>
    <xf numFmtId="0" fontId="0" fillId="3" borderId="5" xfId="0" applyFill="1" applyBorder="1"/>
    <xf numFmtId="0" fontId="29" fillId="3" borderId="1" xfId="0" applyFont="1" applyFill="1" applyBorder="1"/>
    <xf numFmtId="0" fontId="32" fillId="3" borderId="0" xfId="0" applyFont="1" applyFill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14" fontId="34" fillId="4" borderId="1" xfId="0" applyNumberFormat="1" applyFont="1" applyFill="1" applyBorder="1" applyAlignment="1">
      <alignment horizontal="center"/>
    </xf>
    <xf numFmtId="0" fontId="34" fillId="4" borderId="1" xfId="0" applyFont="1" applyFill="1" applyBorder="1"/>
    <xf numFmtId="0" fontId="14" fillId="4" borderId="1" xfId="0" applyFont="1" applyFill="1" applyBorder="1"/>
    <xf numFmtId="0" fontId="34" fillId="4" borderId="0" xfId="0" applyFont="1" applyFill="1"/>
    <xf numFmtId="0" fontId="32" fillId="4" borderId="1" xfId="0" applyFont="1" applyFill="1" applyBorder="1"/>
    <xf numFmtId="0" fontId="32" fillId="4" borderId="1" xfId="0" applyFont="1" applyFill="1" applyBorder="1" applyAlignment="1">
      <alignment horizontal="center"/>
    </xf>
    <xf numFmtId="0" fontId="0" fillId="4" borderId="1" xfId="0" applyFill="1" applyBorder="1"/>
    <xf numFmtId="0" fontId="32" fillId="4" borderId="0" xfId="0" applyFont="1" applyFill="1"/>
    <xf numFmtId="14" fontId="32" fillId="4" borderId="1" xfId="0" applyNumberFormat="1" applyFont="1" applyFill="1" applyBorder="1" applyAlignment="1">
      <alignment horizontal="center"/>
    </xf>
    <xf numFmtId="14" fontId="32" fillId="8" borderId="1" xfId="0" applyNumberFormat="1" applyFont="1" applyFill="1" applyBorder="1" applyAlignment="1">
      <alignment horizontal="center"/>
    </xf>
    <xf numFmtId="14" fontId="32" fillId="3" borderId="5" xfId="0" applyNumberFormat="1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left"/>
    </xf>
    <xf numFmtId="14" fontId="32" fillId="3" borderId="0" xfId="0" applyNumberFormat="1" applyFont="1" applyFill="1" applyBorder="1" applyAlignment="1">
      <alignment horizontal="center"/>
    </xf>
    <xf numFmtId="0" fontId="32" fillId="3" borderId="0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27" fillId="9" borderId="1" xfId="0" applyFon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36" fillId="4" borderId="1" xfId="1" applyFill="1" applyBorder="1" applyAlignment="1">
      <alignment horizontal="center"/>
    </xf>
    <xf numFmtId="0" fontId="32" fillId="6" borderId="0" xfId="0" applyFont="1" applyFill="1" applyAlignment="1">
      <alignment horizontal="center"/>
    </xf>
    <xf numFmtId="14" fontId="32" fillId="6" borderId="0" xfId="0" applyNumberFormat="1" applyFont="1" applyFill="1" applyAlignment="1">
      <alignment horizontal="center"/>
    </xf>
    <xf numFmtId="0" fontId="34" fillId="6" borderId="1" xfId="0" applyFont="1" applyFill="1" applyBorder="1" applyAlignment="1">
      <alignment horizontal="center"/>
    </xf>
    <xf numFmtId="14" fontId="34" fillId="6" borderId="1" xfId="0" applyNumberFormat="1" applyFont="1" applyFill="1" applyBorder="1" applyAlignment="1">
      <alignment horizontal="center"/>
    </xf>
    <xf numFmtId="0" fontId="34" fillId="6" borderId="1" xfId="0" applyFont="1" applyFill="1" applyBorder="1"/>
    <xf numFmtId="0" fontId="14" fillId="6" borderId="1" xfId="0" applyFont="1" applyFill="1" applyBorder="1"/>
    <xf numFmtId="0" fontId="34" fillId="6" borderId="0" xfId="0" applyFont="1" applyFill="1"/>
    <xf numFmtId="0" fontId="31" fillId="3" borderId="1" xfId="0" applyFont="1" applyFill="1" applyBorder="1" applyAlignment="1">
      <alignment horizontal="left"/>
    </xf>
    <xf numFmtId="0" fontId="32" fillId="3" borderId="5" xfId="0" applyFont="1" applyFill="1" applyBorder="1" applyAlignment="1">
      <alignment horizontal="left"/>
    </xf>
    <xf numFmtId="14" fontId="32" fillId="3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2" fillId="3" borderId="0" xfId="0" applyFont="1" applyFill="1" applyAlignment="1">
      <alignment horizontal="left"/>
    </xf>
    <xf numFmtId="0" fontId="0" fillId="0" borderId="2" xfId="0" applyFill="1" applyBorder="1"/>
    <xf numFmtId="0" fontId="27" fillId="10" borderId="0" xfId="0" applyFont="1" applyFill="1"/>
    <xf numFmtId="16" fontId="0" fillId="0" borderId="0" xfId="0" applyNumberFormat="1"/>
    <xf numFmtId="0" fontId="0" fillId="0" borderId="0" xfId="0" applyBorder="1" applyAlignment="1">
      <alignment horizontal="left"/>
    </xf>
    <xf numFmtId="0" fontId="34" fillId="2" borderId="1" xfId="0" applyFont="1" applyFill="1" applyBorder="1" applyAlignment="1">
      <alignment horizontal="center"/>
    </xf>
    <xf numFmtId="14" fontId="34" fillId="2" borderId="1" xfId="0" applyNumberFormat="1" applyFont="1" applyFill="1" applyBorder="1" applyAlignment="1">
      <alignment horizontal="center"/>
    </xf>
    <xf numFmtId="0" fontId="34" fillId="2" borderId="1" xfId="0" applyFont="1" applyFill="1" applyBorder="1"/>
    <xf numFmtId="0" fontId="14" fillId="2" borderId="1" xfId="0" applyFont="1" applyFill="1" applyBorder="1"/>
    <xf numFmtId="0" fontId="34" fillId="2" borderId="0" xfId="0" applyFont="1" applyFill="1"/>
    <xf numFmtId="0" fontId="31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left"/>
    </xf>
    <xf numFmtId="14" fontId="34" fillId="2" borderId="1" xfId="0" applyNumberFormat="1" applyFont="1" applyFill="1" applyBorder="1"/>
    <xf numFmtId="0" fontId="1" fillId="8" borderId="1" xfId="0" applyFont="1" applyFill="1" applyBorder="1"/>
    <xf numFmtId="0" fontId="0" fillId="8" borderId="0" xfId="0" applyFill="1"/>
    <xf numFmtId="0" fontId="36" fillId="2" borderId="1" xfId="1" applyFill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Fill="1"/>
    <xf numFmtId="0" fontId="32" fillId="3" borderId="4" xfId="0" applyFont="1" applyFill="1" applyBorder="1"/>
    <xf numFmtId="0" fontId="32" fillId="3" borderId="4" xfId="0" applyFont="1" applyFill="1" applyBorder="1" applyAlignment="1">
      <alignment horizontal="left"/>
    </xf>
    <xf numFmtId="0" fontId="34" fillId="8" borderId="4" xfId="0" applyFont="1" applyFill="1" applyBorder="1"/>
    <xf numFmtId="0" fontId="34" fillId="0" borderId="1" xfId="0" applyFont="1" applyFill="1" applyBorder="1" applyAlignment="1">
      <alignment horizontal="center"/>
    </xf>
    <xf numFmtId="14" fontId="34" fillId="0" borderId="1" xfId="0" applyNumberFormat="1" applyFont="1" applyFill="1" applyBorder="1" applyAlignment="1">
      <alignment horizontal="center"/>
    </xf>
    <xf numFmtId="0" fontId="34" fillId="0" borderId="4" xfId="0" applyFont="1" applyFill="1" applyBorder="1"/>
    <xf numFmtId="0" fontId="34" fillId="0" borderId="0" xfId="0" applyFont="1" applyFill="1"/>
    <xf numFmtId="0" fontId="32" fillId="8" borderId="1" xfId="0" applyFont="1" applyFill="1" applyBorder="1" applyAlignment="1">
      <alignment horizontal="left"/>
    </xf>
    <xf numFmtId="0" fontId="32" fillId="8" borderId="4" xfId="0" applyFont="1" applyFill="1" applyBorder="1"/>
    <xf numFmtId="14" fontId="34" fillId="8" borderId="1" xfId="0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horizontal="left"/>
    </xf>
    <xf numFmtId="0" fontId="32" fillId="0" borderId="4" xfId="0" applyFont="1" applyFill="1" applyBorder="1"/>
    <xf numFmtId="0" fontId="29" fillId="7" borderId="1" xfId="0" applyFont="1" applyFill="1" applyBorder="1" applyAlignment="1">
      <alignment horizontal="left"/>
    </xf>
    <xf numFmtId="0" fontId="34" fillId="3" borderId="1" xfId="0" applyFont="1" applyFill="1" applyBorder="1" applyAlignment="1">
      <alignment horizontal="left"/>
    </xf>
    <xf numFmtId="0" fontId="34" fillId="8" borderId="1" xfId="0" applyFont="1" applyFill="1" applyBorder="1" applyAlignment="1">
      <alignment horizontal="left"/>
    </xf>
    <xf numFmtId="0" fontId="34" fillId="0" borderId="1" xfId="0" applyFont="1" applyFill="1" applyBorder="1" applyAlignment="1">
      <alignment horizontal="left"/>
    </xf>
    <xf numFmtId="0" fontId="36" fillId="0" borderId="1" xfId="1" applyBorder="1" applyAlignment="1">
      <alignment horizontal="left"/>
    </xf>
    <xf numFmtId="0" fontId="29" fillId="3" borderId="1" xfId="0" applyFont="1" applyFill="1" applyBorder="1" applyAlignment="1">
      <alignment horizontal="left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0" borderId="0" xfId="0" applyFont="1" applyAlignment="1">
      <alignment horizontal="left"/>
    </xf>
    <xf numFmtId="0" fontId="37" fillId="0" borderId="1" xfId="1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14" fillId="0" borderId="1" xfId="0" applyFont="1" applyFill="1" applyBorder="1"/>
    <xf numFmtId="0" fontId="32" fillId="2" borderId="1" xfId="0" applyFont="1" applyFill="1" applyBorder="1" applyAlignment="1">
      <alignment horizontal="center" wrapText="1"/>
    </xf>
    <xf numFmtId="0" fontId="31" fillId="3" borderId="1" xfId="0" applyFont="1" applyFill="1" applyBorder="1"/>
    <xf numFmtId="0" fontId="6" fillId="3" borderId="1" xfId="0" applyFont="1" applyFill="1" applyBorder="1"/>
    <xf numFmtId="0" fontId="34" fillId="2" borderId="1" xfId="0" applyFont="1" applyFill="1" applyBorder="1" applyAlignment="1">
      <alignment horizontal="center" wrapText="1"/>
    </xf>
    <xf numFmtId="0" fontId="38" fillId="2" borderId="0" xfId="0" applyFont="1" applyFill="1"/>
    <xf numFmtId="4" fontId="0" fillId="0" borderId="1" xfId="0" applyNumberFormat="1" applyBorder="1" applyAlignment="1">
      <alignment horizontal="center"/>
    </xf>
    <xf numFmtId="14" fontId="32" fillId="8" borderId="1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32" fillId="8" borderId="4" xfId="0" applyFont="1" applyFill="1" applyBorder="1" applyAlignment="1">
      <alignment horizontal="left"/>
    </xf>
    <xf numFmtId="0" fontId="32" fillId="8" borderId="0" xfId="0" applyFont="1" applyFill="1" applyAlignment="1">
      <alignment horizontal="left"/>
    </xf>
    <xf numFmtId="14" fontId="32" fillId="2" borderId="0" xfId="0" applyNumberFormat="1" applyFont="1" applyFill="1"/>
    <xf numFmtId="14" fontId="32" fillId="2" borderId="1" xfId="0" applyNumberFormat="1" applyFont="1" applyFill="1" applyBorder="1"/>
    <xf numFmtId="4" fontId="32" fillId="2" borderId="1" xfId="0" applyNumberFormat="1" applyFont="1" applyFill="1" applyBorder="1" applyAlignment="1">
      <alignment horizontal="center"/>
    </xf>
    <xf numFmtId="0" fontId="32" fillId="2" borderId="5" xfId="0" applyFont="1" applyFill="1" applyBorder="1"/>
    <xf numFmtId="0" fontId="32" fillId="2" borderId="5" xfId="0" applyFont="1" applyFill="1" applyBorder="1" applyAlignment="1">
      <alignment horizontal="center"/>
    </xf>
    <xf numFmtId="0" fontId="0" fillId="2" borderId="5" xfId="0" applyFill="1" applyBorder="1"/>
    <xf numFmtId="3" fontId="1" fillId="3" borderId="1" xfId="0" applyNumberFormat="1" applyFont="1" applyFill="1" applyBorder="1"/>
    <xf numFmtId="0" fontId="32" fillId="8" borderId="5" xfId="0" applyFont="1" applyFill="1" applyBorder="1"/>
    <xf numFmtId="0" fontId="32" fillId="8" borderId="5" xfId="0" applyFont="1" applyFill="1" applyBorder="1" applyAlignment="1">
      <alignment horizontal="center"/>
    </xf>
    <xf numFmtId="0" fontId="0" fillId="8" borderId="5" xfId="0" applyFill="1" applyBorder="1"/>
    <xf numFmtId="0" fontId="32" fillId="3" borderId="3" xfId="0" applyFont="1" applyFill="1" applyBorder="1" applyAlignment="1">
      <alignment horizontal="left"/>
    </xf>
    <xf numFmtId="14" fontId="32" fillId="3" borderId="4" xfId="0" applyNumberFormat="1" applyFont="1" applyFill="1" applyBorder="1" applyAlignment="1">
      <alignment horizontal="center"/>
    </xf>
    <xf numFmtId="14" fontId="32" fillId="0" borderId="4" xfId="0" applyNumberFormat="1" applyFont="1" applyFill="1" applyBorder="1" applyAlignment="1">
      <alignment horizontal="center"/>
    </xf>
    <xf numFmtId="0" fontId="36" fillId="0" borderId="1" xfId="1" applyFill="1" applyBorder="1" applyAlignment="1">
      <alignment horizontal="center"/>
    </xf>
    <xf numFmtId="0" fontId="14" fillId="8" borderId="0" xfId="0" applyFont="1" applyFill="1"/>
    <xf numFmtId="0" fontId="39" fillId="8" borderId="0" xfId="0" applyFont="1" applyFill="1"/>
    <xf numFmtId="0" fontId="32" fillId="8" borderId="0" xfId="0" applyFont="1" applyFill="1" applyAlignment="1">
      <alignment horizontal="center"/>
    </xf>
    <xf numFmtId="0" fontId="32" fillId="8" borderId="3" xfId="0" applyFont="1" applyFill="1" applyBorder="1" applyAlignment="1">
      <alignment horizontal="left"/>
    </xf>
    <xf numFmtId="14" fontId="32" fillId="8" borderId="4" xfId="0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wrapText="1"/>
    </xf>
    <xf numFmtId="0" fontId="32" fillId="0" borderId="5" xfId="0" applyFont="1" applyFill="1" applyBorder="1"/>
    <xf numFmtId="0" fontId="32" fillId="0" borderId="5" xfId="0" applyFont="1" applyFill="1" applyBorder="1" applyAlignment="1">
      <alignment horizontal="center"/>
    </xf>
    <xf numFmtId="0" fontId="0" fillId="0" borderId="5" xfId="0" applyFill="1" applyBorder="1"/>
    <xf numFmtId="0" fontId="40" fillId="8" borderId="0" xfId="0" applyFont="1" applyFill="1"/>
    <xf numFmtId="0" fontId="36" fillId="8" borderId="1" xfId="1" applyFill="1" applyBorder="1" applyAlignment="1">
      <alignment horizontal="center"/>
    </xf>
    <xf numFmtId="0" fontId="36" fillId="2" borderId="5" xfId="1" applyFill="1" applyBorder="1" applyAlignment="1">
      <alignment horizontal="center"/>
    </xf>
    <xf numFmtId="14" fontId="30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6" fillId="3" borderId="0" xfId="0" applyFont="1" applyFill="1"/>
    <xf numFmtId="0" fontId="34" fillId="2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nai@techbyheartacademy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invoice.zoho.in/app/60039309088" TargetMode="External"/><Relationship Id="rId13" Type="http://schemas.openxmlformats.org/officeDocument/2006/relationships/printerSettings" Target="../printerSettings/printerSettings15.bin"/><Relationship Id="rId3" Type="http://schemas.openxmlformats.org/officeDocument/2006/relationships/hyperlink" Target="https://invoice.zoho.in/app/60039309088" TargetMode="External"/><Relationship Id="rId7" Type="http://schemas.openxmlformats.org/officeDocument/2006/relationships/hyperlink" Target="https://invoice.zoho.in/app/60039309088" TargetMode="External"/><Relationship Id="rId12" Type="http://schemas.openxmlformats.org/officeDocument/2006/relationships/hyperlink" Target="https://invoice.zoho.in/app/60039309088" TargetMode="External"/><Relationship Id="rId2" Type="http://schemas.openxmlformats.org/officeDocument/2006/relationships/hyperlink" Target="https://invoice.zoho.in/app/60039309088" TargetMode="External"/><Relationship Id="rId1" Type="http://schemas.openxmlformats.org/officeDocument/2006/relationships/hyperlink" Target="mailto:nai@techbyheartacademy" TargetMode="External"/><Relationship Id="rId6" Type="http://schemas.openxmlformats.org/officeDocument/2006/relationships/hyperlink" Target="https://invoice.zoho.in/app/60039309088" TargetMode="External"/><Relationship Id="rId11" Type="http://schemas.openxmlformats.org/officeDocument/2006/relationships/hyperlink" Target="https://invoice.zoho.in/app/60039309088" TargetMode="External"/><Relationship Id="rId5" Type="http://schemas.openxmlformats.org/officeDocument/2006/relationships/hyperlink" Target="https://invoice.zoho.in/app/60039309088" TargetMode="External"/><Relationship Id="rId10" Type="http://schemas.openxmlformats.org/officeDocument/2006/relationships/hyperlink" Target="https://invoice.zoho.in/app/60039309088" TargetMode="External"/><Relationship Id="rId4" Type="http://schemas.openxmlformats.org/officeDocument/2006/relationships/hyperlink" Target="https://invoice.zoho.in/app/60039309088" TargetMode="External"/><Relationship Id="rId9" Type="http://schemas.openxmlformats.org/officeDocument/2006/relationships/hyperlink" Target="https://invoice.zoho.in/app/60039309088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silky_mittal@executivecentre.com" TargetMode="External"/><Relationship Id="rId7" Type="http://schemas.openxmlformats.org/officeDocument/2006/relationships/printerSettings" Target="../printerSettings/printerSettings16.bin"/><Relationship Id="rId2" Type="http://schemas.openxmlformats.org/officeDocument/2006/relationships/hyperlink" Target="mailto:Accounting@arivu-iq.com" TargetMode="External"/><Relationship Id="rId1" Type="http://schemas.openxmlformats.org/officeDocument/2006/relationships/hyperlink" Target="mailto:nai@techbyheartacademy" TargetMode="External"/><Relationship Id="rId6" Type="http://schemas.openxmlformats.org/officeDocument/2006/relationships/hyperlink" Target="mailto:manikandan.a@batzemobility.com" TargetMode="External"/><Relationship Id="rId5" Type="http://schemas.openxmlformats.org/officeDocument/2006/relationships/hyperlink" Target="mailto:admin@ppms.in" TargetMode="External"/><Relationship Id="rId4" Type="http://schemas.openxmlformats.org/officeDocument/2006/relationships/hyperlink" Target="mailto:it@pskgroup.co.in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hyperlink" Target="mailto:silky_mittal@executivecentre.com" TargetMode="External"/><Relationship Id="rId7" Type="http://schemas.openxmlformats.org/officeDocument/2006/relationships/hyperlink" Target="mailto:hr.vritinfra@gmail.com" TargetMode="External"/><Relationship Id="rId2" Type="http://schemas.openxmlformats.org/officeDocument/2006/relationships/hyperlink" Target="mailto:Accounting@arivu-iq.com" TargetMode="External"/><Relationship Id="rId1" Type="http://schemas.openxmlformats.org/officeDocument/2006/relationships/hyperlink" Target="mailto:nai@techbyheartacademy" TargetMode="External"/><Relationship Id="rId6" Type="http://schemas.openxmlformats.org/officeDocument/2006/relationships/hyperlink" Target="mailto:manikandan.a@batzemobility.com" TargetMode="External"/><Relationship Id="rId5" Type="http://schemas.openxmlformats.org/officeDocument/2006/relationships/hyperlink" Target="mailto:admin@ppms.in" TargetMode="External"/><Relationship Id="rId4" Type="http://schemas.openxmlformats.org/officeDocument/2006/relationships/hyperlink" Target="mailto:it@pskgroup.co.in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"/>
  <sheetViews>
    <sheetView workbookViewId="0">
      <selection activeCell="A24" sqref="A24"/>
    </sheetView>
  </sheetViews>
  <sheetFormatPr defaultRowHeight="14.5" x14ac:dyDescent="0.35"/>
  <cols>
    <col min="1" max="1" width="30.81640625" bestFit="1" customWidth="1"/>
    <col min="2" max="2" width="15.7265625" bestFit="1" customWidth="1"/>
    <col min="5" max="5" width="9.26953125" bestFit="1" customWidth="1"/>
    <col min="8" max="8" width="24.453125" bestFit="1" customWidth="1"/>
  </cols>
  <sheetData>
    <row r="3" spans="1:9" ht="15.75" x14ac:dyDescent="0.25">
      <c r="A3" s="2" t="s">
        <v>0</v>
      </c>
      <c r="B3" s="10">
        <v>7299917887</v>
      </c>
      <c r="C3" s="2"/>
      <c r="D3" s="2"/>
      <c r="E3" s="6">
        <v>11500</v>
      </c>
      <c r="F3" s="2" t="s">
        <v>1</v>
      </c>
      <c r="G3" s="2" t="s">
        <v>2</v>
      </c>
      <c r="H3" s="2" t="s">
        <v>3</v>
      </c>
      <c r="I3" s="1"/>
    </row>
    <row r="4" spans="1:9" ht="15.75" x14ac:dyDescent="0.25">
      <c r="A4" s="2" t="s">
        <v>4</v>
      </c>
      <c r="B4" s="2"/>
      <c r="C4" s="2"/>
      <c r="D4" s="2"/>
      <c r="E4" s="6">
        <v>8000</v>
      </c>
      <c r="F4" s="2" t="s">
        <v>5</v>
      </c>
      <c r="G4" s="2" t="s">
        <v>2</v>
      </c>
      <c r="H4" s="2" t="s">
        <v>6</v>
      </c>
      <c r="I4" s="1"/>
    </row>
    <row r="5" spans="1:9" ht="15.75" x14ac:dyDescent="0.25">
      <c r="A5" s="2" t="s">
        <v>7</v>
      </c>
      <c r="B5" s="10">
        <v>9840168557</v>
      </c>
      <c r="C5" s="2"/>
      <c r="D5" s="2"/>
      <c r="E5" s="6">
        <v>3200</v>
      </c>
      <c r="F5" s="2" t="s">
        <v>8</v>
      </c>
      <c r="G5" s="2" t="s">
        <v>9</v>
      </c>
      <c r="H5" s="2" t="s">
        <v>10</v>
      </c>
      <c r="I5" s="1"/>
    </row>
    <row r="6" spans="1:9" ht="15.75" x14ac:dyDescent="0.25">
      <c r="A6" s="2" t="s">
        <v>11</v>
      </c>
      <c r="B6" s="10">
        <v>8248207467</v>
      </c>
      <c r="C6" s="2"/>
      <c r="D6" s="2"/>
      <c r="E6" s="6">
        <v>2000</v>
      </c>
      <c r="F6" s="2" t="s">
        <v>12</v>
      </c>
      <c r="G6" s="2" t="s">
        <v>2</v>
      </c>
      <c r="H6" s="2"/>
      <c r="I6" s="1"/>
    </row>
    <row r="7" spans="1:9" ht="15.75" x14ac:dyDescent="0.25">
      <c r="A7" s="2" t="s">
        <v>13</v>
      </c>
      <c r="B7" s="10">
        <v>9094306507</v>
      </c>
      <c r="C7" s="2"/>
      <c r="D7" s="2"/>
      <c r="E7" s="6"/>
      <c r="F7" s="2"/>
      <c r="G7" s="2"/>
      <c r="H7" s="12" t="s">
        <v>6</v>
      </c>
      <c r="I7" s="1"/>
    </row>
    <row r="8" spans="1:9" ht="15.75" x14ac:dyDescent="0.25">
      <c r="A8" s="2" t="s">
        <v>14</v>
      </c>
      <c r="B8" s="10">
        <v>6282231947</v>
      </c>
      <c r="C8" s="2"/>
      <c r="D8" s="2" t="s">
        <v>15</v>
      </c>
      <c r="E8" s="6">
        <v>900</v>
      </c>
      <c r="F8" s="2" t="s">
        <v>15</v>
      </c>
      <c r="G8" s="2" t="s">
        <v>16</v>
      </c>
      <c r="H8" s="12" t="s">
        <v>6</v>
      </c>
      <c r="I8" s="1"/>
    </row>
    <row r="9" spans="1:9" ht="15.75" x14ac:dyDescent="0.25">
      <c r="A9" s="2" t="s">
        <v>17</v>
      </c>
      <c r="B9" s="10">
        <v>8681905148</v>
      </c>
      <c r="C9" s="2"/>
      <c r="D9" s="2" t="s">
        <v>29</v>
      </c>
      <c r="E9" s="6">
        <v>1900</v>
      </c>
      <c r="F9" s="2" t="s">
        <v>29</v>
      </c>
      <c r="G9" s="2" t="s">
        <v>16</v>
      </c>
      <c r="H9" s="2" t="s">
        <v>2</v>
      </c>
      <c r="I9" s="1"/>
    </row>
    <row r="10" spans="1:9" ht="15.75" x14ac:dyDescent="0.25">
      <c r="A10" s="2" t="s">
        <v>18</v>
      </c>
      <c r="B10" s="10">
        <v>6369434821</v>
      </c>
      <c r="C10" s="2"/>
      <c r="D10" s="2" t="s">
        <v>19</v>
      </c>
      <c r="E10" s="6">
        <v>2000</v>
      </c>
      <c r="F10" s="2" t="s">
        <v>19</v>
      </c>
      <c r="G10" s="2" t="s">
        <v>20</v>
      </c>
      <c r="H10" s="2" t="s">
        <v>30</v>
      </c>
      <c r="I10" s="1"/>
    </row>
    <row r="11" spans="1:9" ht="15.75" x14ac:dyDescent="0.25">
      <c r="A11" s="2" t="s">
        <v>21</v>
      </c>
      <c r="B11" s="10">
        <v>6382326126</v>
      </c>
      <c r="C11" s="2"/>
      <c r="D11" s="2" t="s">
        <v>12</v>
      </c>
      <c r="E11" s="6">
        <v>4000</v>
      </c>
      <c r="F11" s="2" t="s">
        <v>12</v>
      </c>
      <c r="G11" s="2" t="s">
        <v>16</v>
      </c>
      <c r="H11" s="2" t="s">
        <v>22</v>
      </c>
      <c r="I11" s="1"/>
    </row>
    <row r="12" spans="1:9" ht="15.75" x14ac:dyDescent="0.25">
      <c r="A12" s="2" t="s">
        <v>45</v>
      </c>
      <c r="B12" s="10">
        <v>7904622354</v>
      </c>
      <c r="C12" s="2"/>
      <c r="D12" s="2" t="s">
        <v>46</v>
      </c>
      <c r="E12" s="6">
        <v>3200</v>
      </c>
      <c r="F12" s="2" t="s">
        <v>8</v>
      </c>
      <c r="G12" s="2" t="s">
        <v>47</v>
      </c>
      <c r="H12" s="2"/>
    </row>
    <row r="13" spans="1:9" ht="15" x14ac:dyDescent="0.25">
      <c r="A13" s="4" t="s">
        <v>24</v>
      </c>
      <c r="B13" s="11">
        <v>8072008119</v>
      </c>
      <c r="C13" s="4"/>
      <c r="D13" s="4" t="s">
        <v>5</v>
      </c>
      <c r="E13" s="14">
        <v>3000</v>
      </c>
      <c r="F13" s="4" t="s">
        <v>48</v>
      </c>
      <c r="G13" s="4" t="s">
        <v>47</v>
      </c>
      <c r="H13" s="4"/>
    </row>
    <row r="16" spans="1:9" ht="21" x14ac:dyDescent="0.35">
      <c r="E16" s="15">
        <v>39700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41"/>
  <sheetViews>
    <sheetView topLeftCell="A10" workbookViewId="0">
      <selection activeCell="A5" sqref="A5:A26"/>
    </sheetView>
  </sheetViews>
  <sheetFormatPr defaultRowHeight="14.5" x14ac:dyDescent="0.35"/>
  <cols>
    <col min="1" max="1" width="39.26953125" bestFit="1" customWidth="1"/>
    <col min="2" max="2" width="15.7265625" bestFit="1" customWidth="1"/>
    <col min="3" max="3" width="11.26953125" bestFit="1" customWidth="1"/>
    <col min="4" max="4" width="12.54296875" customWidth="1"/>
    <col min="5" max="5" width="11.26953125" bestFit="1" customWidth="1"/>
    <col min="6" max="6" width="10.81640625" customWidth="1"/>
    <col min="7" max="7" width="20.54296875" bestFit="1" customWidth="1"/>
    <col min="8" max="8" width="22.54296875" bestFit="1" customWidth="1"/>
    <col min="9" max="9" width="14" bestFit="1" customWidth="1"/>
    <col min="10" max="10" width="11.26953125" bestFit="1" customWidth="1"/>
    <col min="11" max="11" width="13.7265625" bestFit="1" customWidth="1"/>
  </cols>
  <sheetData>
    <row r="5" spans="1:11" ht="18.75" x14ac:dyDescent="0.3">
      <c r="A5" s="3" t="s">
        <v>101</v>
      </c>
      <c r="B5" s="5">
        <v>7299917887</v>
      </c>
      <c r="C5" s="3"/>
      <c r="D5" s="5">
        <v>14500</v>
      </c>
      <c r="E5" s="3" t="s">
        <v>64</v>
      </c>
      <c r="F5" s="17">
        <v>14500</v>
      </c>
      <c r="G5" s="3" t="s">
        <v>59</v>
      </c>
      <c r="H5" t="s">
        <v>65</v>
      </c>
    </row>
    <row r="6" spans="1:11" ht="18.75" x14ac:dyDescent="0.3">
      <c r="A6" s="3" t="s">
        <v>100</v>
      </c>
      <c r="B6" s="3">
        <v>9840168557</v>
      </c>
      <c r="C6" s="3"/>
      <c r="D6" s="5">
        <v>3200</v>
      </c>
      <c r="E6" s="3" t="s">
        <v>55</v>
      </c>
      <c r="F6" s="9">
        <v>6400</v>
      </c>
      <c r="G6" s="3" t="s">
        <v>54</v>
      </c>
      <c r="H6" t="s">
        <v>56</v>
      </c>
    </row>
    <row r="7" spans="1:11" ht="18.75" x14ac:dyDescent="0.3">
      <c r="A7" s="3" t="s">
        <v>38</v>
      </c>
      <c r="B7" s="3">
        <v>8248207467</v>
      </c>
      <c r="C7" s="3"/>
      <c r="D7" s="5">
        <v>2000</v>
      </c>
      <c r="E7" s="3" t="s">
        <v>55</v>
      </c>
      <c r="F7" s="9">
        <v>2000</v>
      </c>
      <c r="G7" s="3" t="s">
        <v>59</v>
      </c>
    </row>
    <row r="8" spans="1:11" ht="18.75" x14ac:dyDescent="0.3">
      <c r="A8" s="3" t="s">
        <v>17</v>
      </c>
      <c r="B8" s="3">
        <v>8681905148</v>
      </c>
      <c r="C8" s="3" t="s">
        <v>15</v>
      </c>
      <c r="D8" s="5">
        <v>1800</v>
      </c>
      <c r="E8" s="3" t="s">
        <v>53</v>
      </c>
      <c r="F8" s="9">
        <v>1900</v>
      </c>
      <c r="G8" s="3" t="s">
        <v>42</v>
      </c>
    </row>
    <row r="9" spans="1:11" ht="18.75" x14ac:dyDescent="0.3">
      <c r="A9" s="3" t="s">
        <v>37</v>
      </c>
      <c r="B9" s="3">
        <v>6369434821</v>
      </c>
      <c r="C9" s="3" t="s">
        <v>19</v>
      </c>
      <c r="D9" s="5">
        <v>2000</v>
      </c>
      <c r="E9" s="3" t="s">
        <v>28</v>
      </c>
      <c r="F9" s="9">
        <v>2000</v>
      </c>
      <c r="G9" s="3" t="s">
        <v>33</v>
      </c>
    </row>
    <row r="10" spans="1:11" ht="18.75" x14ac:dyDescent="0.3">
      <c r="A10" s="3" t="s">
        <v>21</v>
      </c>
      <c r="B10" s="3">
        <v>6382326126</v>
      </c>
      <c r="C10" s="3" t="s">
        <v>12</v>
      </c>
      <c r="D10" s="5">
        <v>4000</v>
      </c>
      <c r="E10" s="3" t="s">
        <v>28</v>
      </c>
      <c r="F10" s="9">
        <v>4000</v>
      </c>
      <c r="G10" s="3" t="s">
        <v>33</v>
      </c>
    </row>
    <row r="11" spans="1:11" ht="18.75" x14ac:dyDescent="0.3">
      <c r="A11" s="3" t="s">
        <v>36</v>
      </c>
      <c r="B11" s="3">
        <v>7904401435</v>
      </c>
      <c r="C11" s="3" t="s">
        <v>23</v>
      </c>
      <c r="D11" s="5">
        <v>2000</v>
      </c>
      <c r="E11" s="3" t="s">
        <v>23</v>
      </c>
      <c r="F11" s="9">
        <v>2000</v>
      </c>
      <c r="G11" s="3" t="s">
        <v>79</v>
      </c>
    </row>
    <row r="12" spans="1:11" ht="18.75" x14ac:dyDescent="0.3">
      <c r="A12" s="3" t="s">
        <v>24</v>
      </c>
      <c r="B12" s="5">
        <v>8072008119</v>
      </c>
      <c r="C12" s="3" t="s">
        <v>5</v>
      </c>
      <c r="D12" s="5">
        <v>3000</v>
      </c>
      <c r="E12" s="3" t="s">
        <v>23</v>
      </c>
      <c r="F12" s="9">
        <v>3000</v>
      </c>
      <c r="G12" s="3" t="s">
        <v>25</v>
      </c>
    </row>
    <row r="13" spans="1:11" ht="18.75" x14ac:dyDescent="0.3">
      <c r="A13" s="8" t="s">
        <v>39</v>
      </c>
      <c r="B13" s="3">
        <v>7358221425</v>
      </c>
      <c r="C13" s="3" t="s">
        <v>40</v>
      </c>
      <c r="D13" s="5">
        <v>2000</v>
      </c>
      <c r="E13" s="3" t="s">
        <v>40</v>
      </c>
      <c r="F13" s="9">
        <v>2000</v>
      </c>
      <c r="G13" s="3" t="s">
        <v>42</v>
      </c>
      <c r="H13" s="24" t="s">
        <v>74</v>
      </c>
      <c r="I13" s="25"/>
      <c r="J13" s="25"/>
      <c r="K13" s="25"/>
    </row>
    <row r="14" spans="1:11" ht="18.75" x14ac:dyDescent="0.3">
      <c r="A14" s="8" t="s">
        <v>43</v>
      </c>
      <c r="B14" s="3">
        <v>9940388908</v>
      </c>
      <c r="C14" s="3" t="s">
        <v>44</v>
      </c>
      <c r="D14" s="13">
        <v>1500</v>
      </c>
      <c r="E14" s="3" t="s">
        <v>44</v>
      </c>
      <c r="F14" s="9">
        <v>13200</v>
      </c>
      <c r="G14" s="3" t="s">
        <v>42</v>
      </c>
      <c r="H14" s="23" t="s">
        <v>104</v>
      </c>
    </row>
    <row r="15" spans="1:11" ht="18.75" x14ac:dyDescent="0.3">
      <c r="A15" s="8" t="s">
        <v>99</v>
      </c>
      <c r="B15" s="3">
        <v>9363637575</v>
      </c>
      <c r="C15" s="3" t="s">
        <v>44</v>
      </c>
      <c r="D15" s="5">
        <v>3500</v>
      </c>
      <c r="E15" s="3" t="s">
        <v>44</v>
      </c>
      <c r="F15" s="9">
        <v>3500</v>
      </c>
      <c r="G15" s="3" t="s">
        <v>42</v>
      </c>
    </row>
    <row r="16" spans="1:11" ht="18.75" x14ac:dyDescent="0.3">
      <c r="A16" s="3" t="s">
        <v>34</v>
      </c>
      <c r="B16" s="3">
        <v>9500148303</v>
      </c>
      <c r="C16" s="3" t="s">
        <v>32</v>
      </c>
      <c r="D16" s="5">
        <v>1400</v>
      </c>
      <c r="E16" s="3" t="s">
        <v>32</v>
      </c>
      <c r="F16" s="9">
        <v>1400</v>
      </c>
      <c r="G16" s="3" t="s">
        <v>33</v>
      </c>
      <c r="H16" s="23" t="s">
        <v>105</v>
      </c>
    </row>
    <row r="17" spans="1:11" ht="18.75" x14ac:dyDescent="0.3">
      <c r="A17" s="3" t="s">
        <v>35</v>
      </c>
      <c r="B17" s="3">
        <v>9629111188</v>
      </c>
      <c r="C17" s="3" t="s">
        <v>41</v>
      </c>
      <c r="D17" s="5">
        <v>1650</v>
      </c>
      <c r="E17" s="3" t="s">
        <v>41</v>
      </c>
      <c r="F17" s="9">
        <v>1650</v>
      </c>
      <c r="G17" s="3" t="s">
        <v>42</v>
      </c>
    </row>
    <row r="18" spans="1:11" ht="18.75" x14ac:dyDescent="0.3">
      <c r="A18" s="8" t="s">
        <v>45</v>
      </c>
      <c r="B18" s="3">
        <v>7904622354</v>
      </c>
      <c r="C18" s="3" t="s">
        <v>46</v>
      </c>
      <c r="D18" s="5">
        <v>3200</v>
      </c>
      <c r="E18" s="3" t="s">
        <v>28</v>
      </c>
      <c r="F18" s="16">
        <v>3200</v>
      </c>
      <c r="G18" s="3" t="s">
        <v>47</v>
      </c>
    </row>
    <row r="19" spans="1:11" ht="18.75" x14ac:dyDescent="0.3">
      <c r="A19" s="8" t="s">
        <v>49</v>
      </c>
      <c r="B19" s="3">
        <v>7299176991</v>
      </c>
      <c r="C19" s="3" t="s">
        <v>50</v>
      </c>
      <c r="D19" s="5">
        <v>2000</v>
      </c>
      <c r="E19" s="5" t="s">
        <v>50</v>
      </c>
      <c r="F19" s="16">
        <v>2200</v>
      </c>
      <c r="G19" s="3" t="s">
        <v>51</v>
      </c>
    </row>
    <row r="20" spans="1:11" ht="18.75" x14ac:dyDescent="0.3">
      <c r="A20" s="3" t="s">
        <v>52</v>
      </c>
      <c r="B20" s="3">
        <v>9500148303</v>
      </c>
      <c r="C20" s="3" t="s">
        <v>50</v>
      </c>
      <c r="D20" s="5">
        <v>300</v>
      </c>
      <c r="E20" s="3" t="s">
        <v>50</v>
      </c>
      <c r="F20" s="9">
        <v>300</v>
      </c>
      <c r="G20" s="3" t="s">
        <v>51</v>
      </c>
    </row>
    <row r="21" spans="1:11" ht="18.75" x14ac:dyDescent="0.3">
      <c r="A21" s="3" t="s">
        <v>57</v>
      </c>
      <c r="B21" s="3">
        <v>9884290222</v>
      </c>
      <c r="C21" s="3" t="s">
        <v>58</v>
      </c>
      <c r="D21" s="5">
        <v>1800</v>
      </c>
      <c r="E21" s="3" t="s">
        <v>55</v>
      </c>
      <c r="F21" s="9">
        <v>1900</v>
      </c>
      <c r="G21" s="3" t="s">
        <v>51</v>
      </c>
    </row>
    <row r="22" spans="1:11" ht="18.75" x14ac:dyDescent="0.3">
      <c r="A22" s="3" t="s">
        <v>60</v>
      </c>
      <c r="B22" s="3">
        <v>8925124442</v>
      </c>
      <c r="C22" s="3"/>
      <c r="D22" s="5"/>
      <c r="E22" s="3" t="s">
        <v>61</v>
      </c>
      <c r="F22" s="9">
        <v>1500</v>
      </c>
      <c r="G22" s="3" t="s">
        <v>62</v>
      </c>
      <c r="H22" t="s">
        <v>63</v>
      </c>
    </row>
    <row r="23" spans="1:11" ht="18.75" x14ac:dyDescent="0.3">
      <c r="A23" s="8" t="s">
        <v>26</v>
      </c>
      <c r="B23" s="3"/>
      <c r="C23" s="3" t="s">
        <v>27</v>
      </c>
      <c r="D23" s="3"/>
      <c r="E23" s="3"/>
      <c r="F23" s="7"/>
      <c r="G23" s="3" t="s">
        <v>31</v>
      </c>
    </row>
    <row r="24" spans="1:11" ht="18.75" x14ac:dyDescent="0.3">
      <c r="A24" s="8" t="s">
        <v>77</v>
      </c>
      <c r="B24" s="4"/>
      <c r="C24" s="4"/>
      <c r="D24" s="4"/>
      <c r="E24" s="8" t="s">
        <v>91</v>
      </c>
      <c r="F24" s="33">
        <v>2000</v>
      </c>
      <c r="G24" s="8" t="s">
        <v>59</v>
      </c>
    </row>
    <row r="25" spans="1:11" ht="18.75" x14ac:dyDescent="0.3">
      <c r="A25" s="8" t="s">
        <v>114</v>
      </c>
      <c r="B25" s="4"/>
      <c r="C25" s="4"/>
      <c r="D25" s="4"/>
      <c r="E25" s="4"/>
      <c r="F25" s="33">
        <v>1500</v>
      </c>
      <c r="G25" s="8" t="s">
        <v>59</v>
      </c>
      <c r="I25" s="27"/>
    </row>
    <row r="26" spans="1:11" ht="18.75" x14ac:dyDescent="0.3">
      <c r="A26" s="8" t="s">
        <v>115</v>
      </c>
      <c r="B26" s="4"/>
      <c r="C26" s="4"/>
      <c r="D26" s="4"/>
      <c r="E26" s="4"/>
      <c r="F26" s="33">
        <v>500</v>
      </c>
      <c r="G26" s="8" t="s">
        <v>59</v>
      </c>
    </row>
    <row r="27" spans="1:11" ht="23.25" x14ac:dyDescent="0.35">
      <c r="F27" s="26">
        <v>70650</v>
      </c>
    </row>
    <row r="29" spans="1:11" x14ac:dyDescent="0.35">
      <c r="C29" s="20"/>
      <c r="D29" s="20"/>
      <c r="E29" s="20" t="s">
        <v>80</v>
      </c>
      <c r="F29" s="20"/>
      <c r="G29" s="20"/>
      <c r="H29" s="20"/>
      <c r="I29" s="20"/>
      <c r="J29" s="20"/>
    </row>
    <row r="30" spans="1:11" x14ac:dyDescent="0.35">
      <c r="C30" s="20" t="s">
        <v>81</v>
      </c>
      <c r="D30" s="20" t="s">
        <v>82</v>
      </c>
      <c r="E30" s="20" t="s">
        <v>83</v>
      </c>
      <c r="F30" s="20" t="s">
        <v>69</v>
      </c>
      <c r="G30" s="20"/>
      <c r="H30" s="20" t="s">
        <v>84</v>
      </c>
      <c r="I30" s="20" t="s">
        <v>86</v>
      </c>
      <c r="J30" s="20" t="s">
        <v>85</v>
      </c>
    </row>
    <row r="31" spans="1:11" ht="18.5" x14ac:dyDescent="0.45">
      <c r="A31" s="21" t="s">
        <v>70</v>
      </c>
      <c r="B31" s="22">
        <v>9840053400</v>
      </c>
      <c r="C31" s="22" t="s">
        <v>28</v>
      </c>
      <c r="D31" s="22">
        <v>1</v>
      </c>
      <c r="E31" s="22">
        <v>22600</v>
      </c>
      <c r="F31" s="22">
        <v>2034</v>
      </c>
      <c r="G31" s="22">
        <v>2034</v>
      </c>
      <c r="H31" s="22">
        <v>26668</v>
      </c>
      <c r="I31" s="22">
        <v>26556</v>
      </c>
      <c r="J31" s="22" t="s">
        <v>68</v>
      </c>
      <c r="K31" t="s">
        <v>71</v>
      </c>
    </row>
    <row r="32" spans="1:11" ht="18.5" x14ac:dyDescent="0.45">
      <c r="A32" s="21" t="s">
        <v>78</v>
      </c>
      <c r="B32" s="22"/>
      <c r="C32" s="22" t="s">
        <v>87</v>
      </c>
      <c r="D32" s="22">
        <v>2</v>
      </c>
      <c r="E32" s="22">
        <v>2500</v>
      </c>
      <c r="F32" s="22">
        <v>255</v>
      </c>
      <c r="G32" s="22">
        <v>255</v>
      </c>
      <c r="H32" s="50">
        <v>2950</v>
      </c>
      <c r="I32" s="22"/>
      <c r="J32" s="21"/>
    </row>
    <row r="33" spans="1:11" ht="18.5" x14ac:dyDescent="0.45">
      <c r="A33" s="28" t="s">
        <v>78</v>
      </c>
      <c r="B33" s="22"/>
      <c r="C33" s="22" t="s">
        <v>53</v>
      </c>
      <c r="D33" s="22">
        <v>3</v>
      </c>
      <c r="E33" s="22">
        <v>1072</v>
      </c>
      <c r="F33" s="22">
        <v>96</v>
      </c>
      <c r="G33" s="22">
        <v>96</v>
      </c>
      <c r="H33" s="50">
        <v>1265</v>
      </c>
      <c r="I33" s="21">
        <v>4214.96</v>
      </c>
      <c r="J33" s="21" t="s">
        <v>124</v>
      </c>
      <c r="K33" t="s">
        <v>71</v>
      </c>
    </row>
    <row r="34" spans="1:11" ht="18.5" x14ac:dyDescent="0.45">
      <c r="A34" s="22"/>
      <c r="B34" s="22"/>
      <c r="C34" s="22"/>
      <c r="D34" s="22"/>
      <c r="E34" s="22"/>
      <c r="F34" s="22"/>
      <c r="G34" s="22"/>
      <c r="H34" s="22"/>
    </row>
    <row r="35" spans="1:11" ht="18.5" x14ac:dyDescent="0.45">
      <c r="A35" s="22"/>
      <c r="B35" s="22"/>
      <c r="C35" s="22"/>
      <c r="D35" s="22"/>
      <c r="E35" s="22"/>
      <c r="F35" s="22"/>
      <c r="G35" s="22"/>
      <c r="H35" s="22"/>
    </row>
    <row r="36" spans="1:11" ht="18.5" x14ac:dyDescent="0.45">
      <c r="A36" s="22"/>
      <c r="B36" s="22"/>
      <c r="C36" s="22"/>
      <c r="D36" s="22"/>
      <c r="E36" s="22"/>
      <c r="F36" s="22"/>
      <c r="G36" s="22"/>
      <c r="H36" s="22"/>
    </row>
    <row r="37" spans="1:11" ht="18.5" x14ac:dyDescent="0.45">
      <c r="A37" s="22"/>
      <c r="B37" s="22"/>
      <c r="C37" s="22"/>
      <c r="D37" s="22"/>
      <c r="E37" s="22"/>
      <c r="F37" s="22"/>
      <c r="G37" s="22"/>
      <c r="H37" s="22"/>
    </row>
    <row r="38" spans="1:11" ht="18.5" x14ac:dyDescent="0.45">
      <c r="A38" s="22"/>
      <c r="B38" s="22"/>
      <c r="C38" s="22"/>
      <c r="D38" s="22"/>
      <c r="E38" s="22"/>
      <c r="F38" s="22"/>
      <c r="G38" s="22"/>
      <c r="H38" s="22"/>
    </row>
    <row r="39" spans="1:11" ht="18.5" x14ac:dyDescent="0.45">
      <c r="A39" s="22"/>
      <c r="B39" s="22"/>
      <c r="C39" s="22"/>
      <c r="D39" s="22"/>
      <c r="E39" s="22"/>
      <c r="F39" s="22"/>
      <c r="G39" s="22"/>
      <c r="H39" s="22"/>
    </row>
    <row r="40" spans="1:11" ht="18.5" x14ac:dyDescent="0.45">
      <c r="A40" s="22"/>
      <c r="B40" s="22"/>
      <c r="C40" s="22"/>
      <c r="D40" s="22"/>
      <c r="E40" s="22"/>
      <c r="F40" s="22"/>
      <c r="G40" s="22"/>
      <c r="H40" s="22"/>
    </row>
    <row r="41" spans="1:11" ht="18.5" x14ac:dyDescent="0.45">
      <c r="A41" s="22"/>
      <c r="B41" s="22"/>
      <c r="C41" s="22"/>
      <c r="D41" s="22"/>
      <c r="E41" s="22"/>
      <c r="F41" s="22"/>
      <c r="G41" s="22"/>
      <c r="H41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B40" sqref="B40"/>
    </sheetView>
  </sheetViews>
  <sheetFormatPr defaultRowHeight="14.5" x14ac:dyDescent="0.35"/>
  <cols>
    <col min="1" max="1" width="42" bestFit="1" customWidth="1"/>
    <col min="2" max="2" width="17.1796875" bestFit="1" customWidth="1"/>
    <col min="3" max="3" width="11.26953125" bestFit="1" customWidth="1"/>
    <col min="4" max="4" width="11.7265625" bestFit="1" customWidth="1"/>
    <col min="5" max="5" width="11.26953125" bestFit="1" customWidth="1"/>
    <col min="7" max="7" width="11.26953125" bestFit="1" customWidth="1"/>
    <col min="8" max="8" width="22.54296875" bestFit="1" customWidth="1"/>
    <col min="9" max="9" width="11.26953125" bestFit="1" customWidth="1"/>
    <col min="10" max="10" width="12.81640625" bestFit="1" customWidth="1"/>
  </cols>
  <sheetData>
    <row r="1" spans="1:8" ht="18.75" x14ac:dyDescent="0.3">
      <c r="A1" s="3" t="s">
        <v>0</v>
      </c>
      <c r="B1" s="5">
        <v>7299917887</v>
      </c>
      <c r="C1" s="3"/>
      <c r="D1" s="5">
        <v>14500</v>
      </c>
      <c r="E1" s="3" t="s">
        <v>116</v>
      </c>
      <c r="F1" s="37">
        <v>14500</v>
      </c>
      <c r="G1" s="3" t="s">
        <v>2</v>
      </c>
      <c r="H1" t="s">
        <v>71</v>
      </c>
    </row>
    <row r="2" spans="1:8" ht="18.75" x14ac:dyDescent="0.3">
      <c r="A2" s="3" t="s">
        <v>7</v>
      </c>
      <c r="B2" s="3">
        <v>9840168557</v>
      </c>
      <c r="C2" s="3"/>
      <c r="D2" s="5">
        <v>3200</v>
      </c>
      <c r="E2" s="3"/>
      <c r="F2" s="38"/>
      <c r="G2" s="3"/>
    </row>
    <row r="3" spans="1:8" ht="18.75" x14ac:dyDescent="0.3">
      <c r="A3" s="3" t="s">
        <v>38</v>
      </c>
      <c r="B3" s="3">
        <v>8248207467</v>
      </c>
      <c r="C3" s="3"/>
      <c r="D3" s="5">
        <v>2000</v>
      </c>
      <c r="E3" s="3" t="s">
        <v>117</v>
      </c>
      <c r="F3" s="38">
        <v>2000</v>
      </c>
      <c r="G3" s="3" t="s">
        <v>2</v>
      </c>
    </row>
    <row r="4" spans="1:8" ht="18.75" x14ac:dyDescent="0.3">
      <c r="A4" s="3" t="s">
        <v>17</v>
      </c>
      <c r="B4" s="3">
        <v>8681905148</v>
      </c>
      <c r="C4" s="3" t="s">
        <v>15</v>
      </c>
      <c r="D4" s="5">
        <v>1800</v>
      </c>
      <c r="E4" s="3" t="s">
        <v>124</v>
      </c>
      <c r="F4" s="38">
        <v>1500</v>
      </c>
      <c r="G4" s="3" t="s">
        <v>2</v>
      </c>
    </row>
    <row r="5" spans="1:8" ht="18.75" x14ac:dyDescent="0.3">
      <c r="A5" s="3" t="s">
        <v>37</v>
      </c>
      <c r="B5" s="3">
        <v>6369434821</v>
      </c>
      <c r="C5" s="3" t="s">
        <v>19</v>
      </c>
      <c r="D5" s="5">
        <v>2000</v>
      </c>
      <c r="E5" s="3" t="s">
        <v>117</v>
      </c>
      <c r="F5" s="38">
        <v>2000</v>
      </c>
      <c r="G5" s="3" t="s">
        <v>2</v>
      </c>
    </row>
    <row r="6" spans="1:8" ht="18.75" x14ac:dyDescent="0.3">
      <c r="A6" s="3" t="s">
        <v>21</v>
      </c>
      <c r="B6" s="3">
        <v>6382326126</v>
      </c>
      <c r="C6" s="3" t="s">
        <v>12</v>
      </c>
      <c r="D6" s="5">
        <v>4000</v>
      </c>
      <c r="E6" s="3"/>
      <c r="F6" s="38"/>
      <c r="G6" s="3"/>
    </row>
    <row r="7" spans="1:8" ht="18.75" x14ac:dyDescent="0.3">
      <c r="A7" s="3" t="s">
        <v>36</v>
      </c>
      <c r="B7" s="3">
        <v>7904401435</v>
      </c>
      <c r="C7" s="3" t="s">
        <v>23</v>
      </c>
      <c r="D7" s="5">
        <v>2000</v>
      </c>
      <c r="E7" s="3"/>
      <c r="F7" s="38"/>
      <c r="G7" s="3"/>
    </row>
    <row r="8" spans="1:8" ht="18.75" x14ac:dyDescent="0.3">
      <c r="A8" s="3" t="s">
        <v>24</v>
      </c>
      <c r="B8" s="5">
        <v>8072008119</v>
      </c>
      <c r="C8" s="3" t="s">
        <v>5</v>
      </c>
      <c r="D8" s="5">
        <v>3000</v>
      </c>
      <c r="E8" s="3" t="s">
        <v>93</v>
      </c>
      <c r="F8" s="38">
        <v>3000</v>
      </c>
      <c r="G8" s="3" t="s">
        <v>47</v>
      </c>
    </row>
    <row r="9" spans="1:8" ht="18.75" x14ac:dyDescent="0.3">
      <c r="A9" s="8" t="s">
        <v>43</v>
      </c>
      <c r="B9" s="5">
        <v>9940388908</v>
      </c>
      <c r="C9" s="3" t="s">
        <v>44</v>
      </c>
      <c r="D9" s="13">
        <v>1500</v>
      </c>
      <c r="E9" s="3"/>
      <c r="F9" s="5" t="s">
        <v>229</v>
      </c>
      <c r="G9" s="3"/>
      <c r="H9" t="s">
        <v>230</v>
      </c>
    </row>
    <row r="10" spans="1:8" ht="18.75" x14ac:dyDescent="0.3">
      <c r="A10" s="8" t="s">
        <v>102</v>
      </c>
      <c r="B10" s="5">
        <v>7550283099</v>
      </c>
      <c r="C10" s="3" t="s">
        <v>44</v>
      </c>
      <c r="D10" s="5">
        <v>3500</v>
      </c>
      <c r="E10" s="3"/>
      <c r="F10" s="38">
        <v>3500</v>
      </c>
      <c r="G10" s="3" t="s">
        <v>2</v>
      </c>
    </row>
    <row r="11" spans="1:8" ht="18.75" x14ac:dyDescent="0.3">
      <c r="A11" s="8" t="s">
        <v>102</v>
      </c>
      <c r="B11" s="5"/>
      <c r="C11" s="3"/>
      <c r="D11" s="5"/>
      <c r="E11" s="3"/>
      <c r="F11" s="38">
        <v>3900</v>
      </c>
      <c r="G11" s="3" t="s">
        <v>2</v>
      </c>
    </row>
    <row r="12" spans="1:8" ht="18.75" x14ac:dyDescent="0.3">
      <c r="A12" s="3" t="s">
        <v>35</v>
      </c>
      <c r="B12" s="5">
        <v>9629111188</v>
      </c>
      <c r="C12" s="3" t="s">
        <v>41</v>
      </c>
      <c r="D12" s="5">
        <v>1650</v>
      </c>
      <c r="E12" s="3" t="s">
        <v>103</v>
      </c>
      <c r="F12" s="38">
        <v>1650</v>
      </c>
      <c r="G12" s="3" t="s">
        <v>2</v>
      </c>
    </row>
    <row r="13" spans="1:8" ht="18.75" x14ac:dyDescent="0.3">
      <c r="A13" s="8" t="s">
        <v>45</v>
      </c>
      <c r="B13" s="5">
        <v>7904622354</v>
      </c>
      <c r="C13" s="3" t="s">
        <v>46</v>
      </c>
      <c r="D13" s="5">
        <v>3200</v>
      </c>
      <c r="E13" s="3" t="s">
        <v>106</v>
      </c>
      <c r="F13" s="38">
        <v>3200</v>
      </c>
      <c r="G13" s="3" t="s">
        <v>47</v>
      </c>
    </row>
    <row r="14" spans="1:8" ht="18.75" x14ac:dyDescent="0.3">
      <c r="A14" s="8" t="s">
        <v>98</v>
      </c>
      <c r="B14" s="5">
        <v>7299176991</v>
      </c>
      <c r="C14" s="3" t="s">
        <v>73</v>
      </c>
      <c r="D14" s="5">
        <v>2000</v>
      </c>
      <c r="E14" s="5"/>
      <c r="F14" s="38"/>
      <c r="G14" s="3"/>
    </row>
    <row r="15" spans="1:8" ht="18.75" x14ac:dyDescent="0.3">
      <c r="A15" s="3" t="s">
        <v>57</v>
      </c>
      <c r="B15" s="5">
        <v>9884290222</v>
      </c>
      <c r="C15" s="3" t="s">
        <v>58</v>
      </c>
      <c r="D15" s="5">
        <v>1800</v>
      </c>
      <c r="E15" s="3"/>
      <c r="F15" s="38"/>
      <c r="G15" s="3" t="s">
        <v>6</v>
      </c>
      <c r="H15" s="35" t="s">
        <v>131</v>
      </c>
    </row>
    <row r="16" spans="1:8" ht="18.75" x14ac:dyDescent="0.3">
      <c r="A16" s="3" t="s">
        <v>60</v>
      </c>
      <c r="B16" s="5">
        <v>8925124442</v>
      </c>
      <c r="C16" s="3"/>
      <c r="D16" s="5">
        <v>5000</v>
      </c>
      <c r="E16" s="3" t="s">
        <v>103</v>
      </c>
      <c r="F16" s="38">
        <v>2000</v>
      </c>
      <c r="G16" s="3" t="s">
        <v>2</v>
      </c>
      <c r="H16" t="s">
        <v>71</v>
      </c>
    </row>
    <row r="17" spans="1:8" ht="18.75" x14ac:dyDescent="0.3">
      <c r="A17" s="8" t="s">
        <v>94</v>
      </c>
      <c r="B17" s="5">
        <v>9966024472</v>
      </c>
      <c r="C17" s="3" t="s">
        <v>73</v>
      </c>
      <c r="D17" s="5">
        <v>750</v>
      </c>
      <c r="E17" s="3" t="s">
        <v>73</v>
      </c>
      <c r="F17" s="38">
        <v>750</v>
      </c>
      <c r="G17" s="3" t="s">
        <v>51</v>
      </c>
      <c r="H17" s="36" t="s">
        <v>123</v>
      </c>
    </row>
    <row r="18" spans="1:8" ht="18.75" x14ac:dyDescent="0.3">
      <c r="A18" s="8" t="s">
        <v>76</v>
      </c>
      <c r="B18" s="30">
        <v>7418880088</v>
      </c>
      <c r="C18" s="8" t="s">
        <v>68</v>
      </c>
      <c r="D18" s="5"/>
      <c r="E18" s="3" t="s">
        <v>75</v>
      </c>
      <c r="F18" s="38">
        <v>1120</v>
      </c>
      <c r="G18" s="3" t="s">
        <v>51</v>
      </c>
      <c r="H18" s="23" t="s">
        <v>95</v>
      </c>
    </row>
    <row r="19" spans="1:8" ht="18.5" x14ac:dyDescent="0.45">
      <c r="A19" s="8" t="s">
        <v>92</v>
      </c>
      <c r="B19" s="30">
        <v>9962394371</v>
      </c>
      <c r="C19" s="8" t="s">
        <v>93</v>
      </c>
      <c r="D19" s="30">
        <v>1400</v>
      </c>
      <c r="E19" s="3" t="s">
        <v>93</v>
      </c>
      <c r="F19" s="38">
        <v>1400</v>
      </c>
      <c r="G19" s="3" t="s">
        <v>51</v>
      </c>
    </row>
    <row r="20" spans="1:8" ht="18.5" x14ac:dyDescent="0.45">
      <c r="A20" s="3" t="s">
        <v>96</v>
      </c>
      <c r="B20" s="5">
        <v>9677143341</v>
      </c>
      <c r="C20" s="3" t="s">
        <v>93</v>
      </c>
      <c r="D20" s="5">
        <v>4000</v>
      </c>
      <c r="E20" s="3" t="s">
        <v>93</v>
      </c>
      <c r="F20" s="38">
        <v>4000</v>
      </c>
      <c r="G20" s="3" t="s">
        <v>51</v>
      </c>
      <c r="H20" s="23" t="s">
        <v>97</v>
      </c>
    </row>
    <row r="21" spans="1:8" ht="18.5" x14ac:dyDescent="0.45">
      <c r="A21" s="3" t="s">
        <v>109</v>
      </c>
      <c r="B21" s="5">
        <v>6380414099</v>
      </c>
      <c r="C21" s="3" t="s">
        <v>107</v>
      </c>
      <c r="D21" s="5">
        <v>4500</v>
      </c>
      <c r="E21" s="3" t="s">
        <v>108</v>
      </c>
      <c r="F21" s="38">
        <v>1000</v>
      </c>
      <c r="G21" s="74" t="s">
        <v>2</v>
      </c>
      <c r="H21" s="32"/>
    </row>
    <row r="22" spans="1:8" ht="18.5" x14ac:dyDescent="0.45">
      <c r="A22" s="3"/>
      <c r="B22" s="5"/>
      <c r="C22" s="3"/>
      <c r="D22" s="5"/>
      <c r="E22" s="3" t="s">
        <v>107</v>
      </c>
      <c r="F22" s="38">
        <v>3500</v>
      </c>
      <c r="G22" s="74" t="s">
        <v>51</v>
      </c>
      <c r="H22" s="32" t="s">
        <v>137</v>
      </c>
    </row>
    <row r="23" spans="1:8" ht="18.5" x14ac:dyDescent="0.45">
      <c r="A23" s="3" t="s">
        <v>110</v>
      </c>
      <c r="B23" s="5">
        <v>6369483302</v>
      </c>
      <c r="C23" s="3" t="s">
        <v>111</v>
      </c>
      <c r="D23" s="5">
        <v>2600</v>
      </c>
      <c r="E23" s="3" t="s">
        <v>111</v>
      </c>
      <c r="F23" s="38">
        <v>2600</v>
      </c>
      <c r="G23" s="3" t="s">
        <v>16</v>
      </c>
      <c r="H23" s="32"/>
    </row>
    <row r="24" spans="1:8" ht="18.5" x14ac:dyDescent="0.45">
      <c r="A24" s="3" t="s">
        <v>113</v>
      </c>
      <c r="B24" s="5">
        <v>8148141825</v>
      </c>
      <c r="C24" s="3" t="s">
        <v>106</v>
      </c>
      <c r="D24" s="5">
        <v>1600</v>
      </c>
      <c r="E24" s="3" t="s">
        <v>106</v>
      </c>
      <c r="F24" s="38">
        <v>1600</v>
      </c>
      <c r="G24" s="3" t="s">
        <v>51</v>
      </c>
      <c r="H24" s="32"/>
    </row>
    <row r="25" spans="1:8" ht="18.5" x14ac:dyDescent="0.45">
      <c r="A25" s="3" t="s">
        <v>135</v>
      </c>
      <c r="B25" s="5">
        <v>9043550014</v>
      </c>
      <c r="C25" s="3" t="s">
        <v>136</v>
      </c>
      <c r="D25" s="5">
        <v>2150</v>
      </c>
      <c r="E25" s="3"/>
      <c r="F25" s="38">
        <v>2150</v>
      </c>
      <c r="G25" s="3" t="s">
        <v>16</v>
      </c>
      <c r="H25" s="32" t="s">
        <v>22</v>
      </c>
    </row>
    <row r="26" spans="1:8" ht="18.5" x14ac:dyDescent="0.45">
      <c r="A26" s="3" t="s">
        <v>122</v>
      </c>
      <c r="B26" s="5">
        <v>7305683763</v>
      </c>
      <c r="C26" s="3" t="s">
        <v>116</v>
      </c>
      <c r="D26" s="5">
        <v>2500</v>
      </c>
      <c r="E26" s="3" t="s">
        <v>116</v>
      </c>
      <c r="F26" s="38">
        <v>2500</v>
      </c>
      <c r="G26" s="3" t="s">
        <v>51</v>
      </c>
    </row>
    <row r="27" spans="1:8" ht="18.5" x14ac:dyDescent="0.45">
      <c r="A27" s="3" t="s">
        <v>125</v>
      </c>
      <c r="B27" s="5">
        <v>8754873426</v>
      </c>
      <c r="C27" s="3" t="s">
        <v>126</v>
      </c>
      <c r="D27" s="5">
        <v>2100</v>
      </c>
      <c r="E27" s="3" t="s">
        <v>126</v>
      </c>
      <c r="F27" s="38">
        <v>2100</v>
      </c>
      <c r="G27" s="3" t="s">
        <v>51</v>
      </c>
    </row>
    <row r="28" spans="1:8" ht="18.5" x14ac:dyDescent="0.45">
      <c r="A28" s="3" t="s">
        <v>127</v>
      </c>
      <c r="B28" s="5">
        <v>9952310362</v>
      </c>
      <c r="C28" s="3" t="s">
        <v>128</v>
      </c>
      <c r="D28" s="5"/>
      <c r="E28" s="3"/>
      <c r="F28" s="38"/>
      <c r="G28" s="3"/>
    </row>
    <row r="29" spans="1:8" ht="18.5" x14ac:dyDescent="0.45">
      <c r="A29" s="3"/>
      <c r="B29" s="5">
        <v>9042512491</v>
      </c>
      <c r="C29" s="3"/>
      <c r="D29" s="5">
        <v>2200</v>
      </c>
      <c r="E29" s="3" t="s">
        <v>128</v>
      </c>
      <c r="F29" s="38">
        <v>2200</v>
      </c>
      <c r="G29" s="3" t="s">
        <v>51</v>
      </c>
    </row>
    <row r="30" spans="1:8" ht="18.5" x14ac:dyDescent="0.45">
      <c r="A30" s="3" t="s">
        <v>113</v>
      </c>
      <c r="B30" s="5">
        <v>8148141825</v>
      </c>
      <c r="C30" s="3" t="s">
        <v>129</v>
      </c>
      <c r="D30" s="5">
        <v>1600</v>
      </c>
      <c r="E30" s="3" t="s">
        <v>129</v>
      </c>
      <c r="F30" s="38">
        <v>1600</v>
      </c>
      <c r="G30" s="3" t="s">
        <v>51</v>
      </c>
    </row>
    <row r="31" spans="1:8" ht="18.5" x14ac:dyDescent="0.45">
      <c r="A31" s="3"/>
      <c r="B31" s="5"/>
      <c r="C31" s="3"/>
      <c r="D31" s="3"/>
      <c r="E31" s="3"/>
      <c r="F31" s="38"/>
      <c r="G31" s="3"/>
    </row>
    <row r="32" spans="1:8" ht="18.5" x14ac:dyDescent="0.45">
      <c r="F32" s="73">
        <v>63770</v>
      </c>
    </row>
    <row r="34" spans="1:12" x14ac:dyDescent="0.35">
      <c r="C34" s="20" t="s">
        <v>66</v>
      </c>
      <c r="D34" s="20"/>
    </row>
    <row r="35" spans="1:12" x14ac:dyDescent="0.35">
      <c r="D35" s="19"/>
      <c r="E35" s="19"/>
      <c r="F35" s="19"/>
      <c r="G35" s="19"/>
    </row>
    <row r="36" spans="1:12" x14ac:dyDescent="0.35">
      <c r="C36" s="19" t="s">
        <v>88</v>
      </c>
      <c r="D36" s="19" t="s">
        <v>82</v>
      </c>
      <c r="E36" s="19" t="s">
        <v>89</v>
      </c>
      <c r="F36" s="19" t="s">
        <v>69</v>
      </c>
      <c r="G36" s="19" t="s">
        <v>69</v>
      </c>
      <c r="H36" s="19" t="s">
        <v>84</v>
      </c>
      <c r="I36" s="19" t="s">
        <v>85</v>
      </c>
      <c r="J36" s="19" t="s">
        <v>90</v>
      </c>
    </row>
    <row r="37" spans="1:12" ht="18.5" x14ac:dyDescent="0.45">
      <c r="A37" s="21" t="s">
        <v>119</v>
      </c>
      <c r="B37" s="21"/>
      <c r="C37" s="21" t="s">
        <v>68</v>
      </c>
      <c r="D37" s="29">
        <v>4</v>
      </c>
      <c r="E37" s="29">
        <v>27200</v>
      </c>
      <c r="F37" s="29">
        <v>2448</v>
      </c>
      <c r="G37" s="29">
        <v>2448</v>
      </c>
      <c r="H37" s="29">
        <v>32096</v>
      </c>
      <c r="I37" s="22" t="s">
        <v>179</v>
      </c>
      <c r="J37" s="21"/>
      <c r="K37" s="21"/>
    </row>
    <row r="38" spans="1:12" ht="18.5" x14ac:dyDescent="0.45">
      <c r="A38" s="21" t="s">
        <v>67</v>
      </c>
      <c r="B38" s="22">
        <v>7418880088</v>
      </c>
      <c r="C38" s="21" t="s">
        <v>73</v>
      </c>
      <c r="D38" s="29">
        <v>5</v>
      </c>
      <c r="E38" s="29">
        <v>1750</v>
      </c>
      <c r="F38" s="29">
        <v>315</v>
      </c>
      <c r="G38" s="29"/>
      <c r="H38" s="29">
        <v>2065</v>
      </c>
      <c r="I38" s="22" t="s">
        <v>68</v>
      </c>
      <c r="J38" s="44" t="s">
        <v>6</v>
      </c>
      <c r="K38" s="21"/>
      <c r="L38" s="21"/>
    </row>
    <row r="39" spans="1:12" ht="18.5" x14ac:dyDescent="0.45">
      <c r="A39" s="21" t="s">
        <v>118</v>
      </c>
      <c r="B39" s="22">
        <v>8939971863</v>
      </c>
      <c r="C39" s="21" t="s">
        <v>93</v>
      </c>
      <c r="D39" s="29">
        <v>6</v>
      </c>
      <c r="E39" s="29">
        <v>850</v>
      </c>
      <c r="F39" s="29">
        <v>76.5</v>
      </c>
      <c r="G39" s="29">
        <v>76.5</v>
      </c>
      <c r="H39" s="29">
        <v>1003</v>
      </c>
      <c r="I39" s="45" t="s">
        <v>145</v>
      </c>
      <c r="J39" s="44" t="s">
        <v>6</v>
      </c>
      <c r="K39" s="21"/>
      <c r="L39" s="21"/>
    </row>
    <row r="40" spans="1:12" ht="18.5" x14ac:dyDescent="0.45">
      <c r="A40" s="21" t="s">
        <v>120</v>
      </c>
      <c r="B40" s="22">
        <v>9686002469</v>
      </c>
      <c r="C40" s="21" t="s">
        <v>107</v>
      </c>
      <c r="D40" s="29">
        <v>7</v>
      </c>
      <c r="E40" s="29">
        <v>39240</v>
      </c>
      <c r="F40" s="29">
        <v>7063</v>
      </c>
      <c r="G40" s="29"/>
      <c r="H40" s="34">
        <v>46303</v>
      </c>
      <c r="I40" s="22" t="s">
        <v>161</v>
      </c>
      <c r="J40" s="22">
        <v>45518</v>
      </c>
      <c r="K40" s="21"/>
      <c r="L40" s="21"/>
    </row>
    <row r="41" spans="1:12" ht="18.5" x14ac:dyDescent="0.45">
      <c r="A41" s="21" t="s">
        <v>112</v>
      </c>
      <c r="B41" s="22">
        <v>9884123865</v>
      </c>
      <c r="C41" s="21" t="s">
        <v>121</v>
      </c>
      <c r="D41" s="29">
        <v>8</v>
      </c>
      <c r="E41" s="29">
        <v>1400</v>
      </c>
      <c r="F41" s="29">
        <v>126</v>
      </c>
      <c r="G41" s="29">
        <v>126</v>
      </c>
      <c r="H41" s="29">
        <v>1652</v>
      </c>
      <c r="I41" s="22" t="s">
        <v>167</v>
      </c>
      <c r="J41" s="22"/>
      <c r="K41" s="21"/>
      <c r="L41" s="21"/>
    </row>
    <row r="42" spans="1:12" ht="18.5" x14ac:dyDescent="0.45">
      <c r="A42" s="21" t="s">
        <v>143</v>
      </c>
      <c r="B42" s="22">
        <v>9943084508</v>
      </c>
      <c r="C42" s="21" t="s">
        <v>121</v>
      </c>
      <c r="D42" s="29">
        <v>9</v>
      </c>
      <c r="E42" s="29">
        <v>5000</v>
      </c>
      <c r="F42" s="29">
        <v>450</v>
      </c>
      <c r="G42" s="29">
        <v>450</v>
      </c>
      <c r="H42" s="29">
        <v>5900</v>
      </c>
      <c r="I42" s="22" t="s">
        <v>140</v>
      </c>
      <c r="J42" s="22"/>
      <c r="K42" s="21"/>
      <c r="L42" s="21"/>
    </row>
    <row r="43" spans="1:12" ht="18.5" x14ac:dyDescent="0.45">
      <c r="A43" s="21" t="s">
        <v>141</v>
      </c>
      <c r="B43" s="22">
        <v>7305683763</v>
      </c>
      <c r="C43" s="21" t="s">
        <v>116</v>
      </c>
      <c r="D43" s="29">
        <v>10</v>
      </c>
      <c r="E43" s="29">
        <v>130</v>
      </c>
      <c r="F43" s="29">
        <v>11.7</v>
      </c>
      <c r="G43" s="29">
        <v>11.7</v>
      </c>
      <c r="H43" s="29">
        <v>153</v>
      </c>
      <c r="I43" s="44" t="s">
        <v>6</v>
      </c>
      <c r="J43" s="22"/>
      <c r="K43" s="21"/>
      <c r="L43" s="21"/>
    </row>
    <row r="44" spans="1:12" ht="18.5" x14ac:dyDescent="0.45">
      <c r="A44" s="21" t="s">
        <v>70</v>
      </c>
      <c r="B44" s="22">
        <v>9840053400</v>
      </c>
      <c r="C44" s="21" t="s">
        <v>117</v>
      </c>
      <c r="D44" s="29">
        <v>11</v>
      </c>
      <c r="E44" s="29">
        <v>5600</v>
      </c>
      <c r="F44" s="29">
        <v>504</v>
      </c>
      <c r="G44" s="29">
        <v>504</v>
      </c>
      <c r="H44" s="29">
        <v>6608</v>
      </c>
      <c r="I44" s="21" t="s">
        <v>167</v>
      </c>
      <c r="J44" s="21"/>
      <c r="K44" s="21"/>
      <c r="L44" s="21"/>
    </row>
    <row r="45" spans="1:12" ht="18.5" x14ac:dyDescent="0.45">
      <c r="A45" s="21" t="s">
        <v>78</v>
      </c>
      <c r="B45" s="22">
        <v>9962096299</v>
      </c>
      <c r="C45" s="21" t="s">
        <v>117</v>
      </c>
      <c r="D45" s="29">
        <v>12</v>
      </c>
      <c r="E45" s="29">
        <v>2500</v>
      </c>
      <c r="F45" s="29">
        <v>225</v>
      </c>
      <c r="G45" s="29">
        <v>225</v>
      </c>
      <c r="H45" s="29">
        <v>2950</v>
      </c>
      <c r="I45" s="21" t="s">
        <v>176</v>
      </c>
      <c r="J45" s="21"/>
      <c r="K45" s="21"/>
      <c r="L45" s="21"/>
    </row>
    <row r="46" spans="1:12" ht="18.5" x14ac:dyDescent="0.45">
      <c r="A46" s="28" t="s">
        <v>78</v>
      </c>
      <c r="B46" s="22">
        <v>9962096299</v>
      </c>
      <c r="C46" s="21" t="s">
        <v>117</v>
      </c>
      <c r="D46" s="29">
        <v>13</v>
      </c>
      <c r="E46" s="29">
        <v>6600</v>
      </c>
      <c r="F46" s="29">
        <v>594</v>
      </c>
      <c r="G46" s="29">
        <v>594</v>
      </c>
      <c r="H46" s="29">
        <v>7788</v>
      </c>
      <c r="I46" s="21" t="s">
        <v>261</v>
      </c>
      <c r="J46" s="21"/>
      <c r="K46" s="21"/>
      <c r="L46" s="21"/>
    </row>
    <row r="47" spans="1:12" ht="18.5" x14ac:dyDescent="0.45">
      <c r="A47" s="21"/>
      <c r="B47" s="22"/>
      <c r="C47" s="22"/>
      <c r="D47" s="22"/>
      <c r="E47" s="22"/>
      <c r="F47" s="22"/>
      <c r="G47" s="22"/>
      <c r="H47" s="21"/>
      <c r="I47" s="21"/>
      <c r="J47" s="21"/>
      <c r="K47" s="21"/>
      <c r="L47" s="21"/>
    </row>
    <row r="48" spans="1:12" ht="18.5" x14ac:dyDescent="0.45">
      <c r="A48" s="21"/>
      <c r="B48" s="22"/>
      <c r="C48" s="22"/>
      <c r="D48" s="22"/>
      <c r="E48" s="22"/>
      <c r="F48" s="22"/>
      <c r="G48" s="22"/>
      <c r="H48" s="21"/>
      <c r="I48" s="21"/>
      <c r="J48" s="21"/>
      <c r="K48" s="21"/>
      <c r="L48" s="21"/>
    </row>
    <row r="49" spans="1:12" ht="18.5" x14ac:dyDescent="0.45">
      <c r="A49" s="21"/>
      <c r="B49" s="22"/>
      <c r="C49" s="22"/>
      <c r="D49" s="22"/>
      <c r="E49" s="22"/>
      <c r="F49" s="22"/>
      <c r="G49" s="22"/>
      <c r="H49" s="21"/>
      <c r="I49" s="21"/>
      <c r="J49" s="21"/>
      <c r="K49" s="21"/>
      <c r="L49" s="21"/>
    </row>
    <row r="50" spans="1:12" x14ac:dyDescent="0.35">
      <c r="B50" s="18"/>
      <c r="C50" s="18"/>
      <c r="D50" s="18"/>
      <c r="E50" s="18"/>
      <c r="F50" s="18"/>
      <c r="G50" s="18"/>
    </row>
    <row r="51" spans="1:12" x14ac:dyDescent="0.35">
      <c r="B51" s="18"/>
      <c r="C51" s="18"/>
      <c r="D51" s="18"/>
      <c r="E51" s="18"/>
      <c r="F51" s="18"/>
      <c r="G51" s="18"/>
    </row>
    <row r="52" spans="1:12" x14ac:dyDescent="0.35">
      <c r="B52" s="18"/>
      <c r="C52" s="18"/>
      <c r="D52" s="18"/>
      <c r="E52" s="18"/>
      <c r="F52" s="18"/>
      <c r="G52" s="18"/>
    </row>
    <row r="53" spans="1:12" x14ac:dyDescent="0.35">
      <c r="B53" s="18"/>
      <c r="C53" s="18"/>
      <c r="D53" s="18"/>
      <c r="E53" s="18"/>
      <c r="F53" s="18"/>
      <c r="G53" s="18"/>
    </row>
    <row r="54" spans="1:12" x14ac:dyDescent="0.35">
      <c r="B54" s="18"/>
      <c r="C54" s="18"/>
      <c r="D54" s="18"/>
      <c r="E54" s="18"/>
      <c r="F54" s="18"/>
      <c r="G54" s="18"/>
    </row>
    <row r="55" spans="1:12" x14ac:dyDescent="0.35">
      <c r="B55" s="18"/>
      <c r="C55" s="18"/>
      <c r="D55" s="18"/>
      <c r="E55" s="18"/>
      <c r="F55" s="18"/>
      <c r="G55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7"/>
  <sheetViews>
    <sheetView topLeftCell="A16" workbookViewId="0">
      <selection activeCell="J56" sqref="J56"/>
    </sheetView>
  </sheetViews>
  <sheetFormatPr defaultRowHeight="14.5" x14ac:dyDescent="0.35"/>
  <cols>
    <col min="1" max="1" width="44" bestFit="1" customWidth="1"/>
    <col min="2" max="2" width="15.7265625" bestFit="1" customWidth="1"/>
    <col min="3" max="3" width="11.26953125" bestFit="1" customWidth="1"/>
    <col min="4" max="4" width="11.7265625" bestFit="1" customWidth="1"/>
    <col min="5" max="7" width="11.26953125" bestFit="1" customWidth="1"/>
    <col min="8" max="8" width="13.1796875" bestFit="1" customWidth="1"/>
    <col min="9" max="9" width="11.7265625" bestFit="1" customWidth="1"/>
    <col min="10" max="10" width="22.81640625" bestFit="1" customWidth="1"/>
  </cols>
  <sheetData>
    <row r="2" spans="1:9" ht="18.75" x14ac:dyDescent="0.3">
      <c r="A2" s="3" t="s">
        <v>0</v>
      </c>
      <c r="B2" s="5">
        <v>7299917887</v>
      </c>
      <c r="C2" s="3"/>
      <c r="D2" s="5">
        <v>14500</v>
      </c>
      <c r="E2" s="3" t="s">
        <v>140</v>
      </c>
      <c r="F2" s="17">
        <v>14500</v>
      </c>
      <c r="G2" s="3" t="s">
        <v>2</v>
      </c>
      <c r="H2" t="s">
        <v>72</v>
      </c>
    </row>
    <row r="3" spans="1:9" ht="18.75" x14ac:dyDescent="0.3">
      <c r="A3" s="3" t="s">
        <v>7</v>
      </c>
      <c r="B3" s="3">
        <v>9840168557</v>
      </c>
      <c r="C3" s="3"/>
      <c r="D3" s="5">
        <v>3200</v>
      </c>
      <c r="E3" s="3" t="s">
        <v>176</v>
      </c>
      <c r="F3" s="9">
        <v>3000</v>
      </c>
      <c r="G3" s="3" t="s">
        <v>177</v>
      </c>
      <c r="H3" t="s">
        <v>178</v>
      </c>
    </row>
    <row r="4" spans="1:9" ht="18.75" x14ac:dyDescent="0.3">
      <c r="A4" s="3" t="s">
        <v>7</v>
      </c>
      <c r="B4" s="3"/>
      <c r="C4" s="3"/>
      <c r="D4" s="5"/>
      <c r="E4" s="3" t="s">
        <v>176</v>
      </c>
      <c r="F4" s="9">
        <v>200</v>
      </c>
      <c r="G4" s="3" t="s">
        <v>51</v>
      </c>
      <c r="H4" t="s">
        <v>72</v>
      </c>
    </row>
    <row r="5" spans="1:9" ht="18.75" x14ac:dyDescent="0.3">
      <c r="A5" s="3" t="s">
        <v>38</v>
      </c>
      <c r="B5" s="3">
        <v>8248207467</v>
      </c>
      <c r="C5" s="3"/>
      <c r="D5" s="5">
        <v>2000</v>
      </c>
      <c r="E5" s="3" t="s">
        <v>163</v>
      </c>
      <c r="F5" s="9">
        <v>2000</v>
      </c>
      <c r="G5" s="3" t="s">
        <v>2</v>
      </c>
    </row>
    <row r="6" spans="1:9" ht="18.75" x14ac:dyDescent="0.3">
      <c r="A6" s="3" t="s">
        <v>17</v>
      </c>
      <c r="B6" s="3">
        <v>8681905148</v>
      </c>
      <c r="C6" s="3" t="s">
        <v>15</v>
      </c>
      <c r="D6" s="5">
        <v>1800</v>
      </c>
      <c r="E6" s="3" t="s">
        <v>182</v>
      </c>
      <c r="F6" s="9">
        <v>1500</v>
      </c>
      <c r="G6" s="3" t="s">
        <v>2</v>
      </c>
      <c r="H6" t="s">
        <v>133</v>
      </c>
    </row>
    <row r="7" spans="1:9" ht="18.75" x14ac:dyDescent="0.3">
      <c r="A7" s="3" t="s">
        <v>37</v>
      </c>
      <c r="B7" s="3">
        <v>6369434821</v>
      </c>
      <c r="C7" s="3" t="s">
        <v>19</v>
      </c>
      <c r="D7" s="5">
        <v>1750</v>
      </c>
      <c r="E7" s="3" t="s">
        <v>176</v>
      </c>
      <c r="F7" s="9">
        <v>1750</v>
      </c>
      <c r="G7" s="3" t="s">
        <v>2</v>
      </c>
      <c r="H7" t="s">
        <v>174</v>
      </c>
    </row>
    <row r="8" spans="1:9" ht="18.75" x14ac:dyDescent="0.3">
      <c r="A8" s="3" t="s">
        <v>21</v>
      </c>
      <c r="B8" s="3">
        <v>6382326126</v>
      </c>
      <c r="C8" s="3" t="s">
        <v>12</v>
      </c>
      <c r="D8" s="5">
        <v>4000</v>
      </c>
      <c r="E8" s="3" t="s">
        <v>130</v>
      </c>
      <c r="F8" s="9">
        <v>2500</v>
      </c>
      <c r="G8" s="3" t="s">
        <v>51</v>
      </c>
      <c r="H8" t="s">
        <v>72</v>
      </c>
      <c r="I8" s="35" t="s">
        <v>6</v>
      </c>
    </row>
    <row r="9" spans="1:9" ht="18.75" x14ac:dyDescent="0.3">
      <c r="A9" s="3" t="s">
        <v>36</v>
      </c>
      <c r="B9" s="3">
        <v>7904401435</v>
      </c>
      <c r="C9" s="3" t="s">
        <v>23</v>
      </c>
      <c r="D9" s="5">
        <v>2000</v>
      </c>
      <c r="E9" s="3" t="s">
        <v>154</v>
      </c>
      <c r="F9" s="9">
        <v>4000</v>
      </c>
      <c r="G9" s="3" t="s">
        <v>157</v>
      </c>
      <c r="H9" s="47" t="s">
        <v>155</v>
      </c>
      <c r="I9" s="1"/>
    </row>
    <row r="10" spans="1:9" ht="18.75" x14ac:dyDescent="0.3">
      <c r="A10" s="3" t="s">
        <v>24</v>
      </c>
      <c r="B10" s="5">
        <v>9840940298</v>
      </c>
      <c r="C10" s="3" t="s">
        <v>5</v>
      </c>
      <c r="D10" s="5">
        <v>3000</v>
      </c>
      <c r="E10" s="3" t="s">
        <v>138</v>
      </c>
      <c r="F10" s="9">
        <v>3000</v>
      </c>
      <c r="G10" s="3" t="s">
        <v>139</v>
      </c>
    </row>
    <row r="11" spans="1:9" ht="18.75" x14ac:dyDescent="0.3">
      <c r="A11" s="8" t="s">
        <v>43</v>
      </c>
      <c r="B11" s="5">
        <v>9940388908</v>
      </c>
      <c r="C11" s="3" t="s">
        <v>44</v>
      </c>
      <c r="D11" s="13">
        <v>1500</v>
      </c>
      <c r="E11" s="3" t="s">
        <v>150</v>
      </c>
      <c r="F11" s="9">
        <v>1500</v>
      </c>
      <c r="G11" s="3" t="s">
        <v>51</v>
      </c>
    </row>
    <row r="12" spans="1:9" ht="18.75" x14ac:dyDescent="0.3">
      <c r="A12" s="8" t="s">
        <v>102</v>
      </c>
      <c r="B12" s="5">
        <v>7550283099</v>
      </c>
      <c r="C12" s="3" t="s">
        <v>44</v>
      </c>
      <c r="D12" s="48">
        <v>3500</v>
      </c>
      <c r="E12" s="3"/>
      <c r="F12" s="9"/>
      <c r="G12" s="3"/>
    </row>
    <row r="13" spans="1:9" ht="18.75" x14ac:dyDescent="0.3">
      <c r="A13" s="8" t="s">
        <v>102</v>
      </c>
      <c r="B13" s="5"/>
      <c r="C13" s="3"/>
      <c r="D13" s="48">
        <v>3000</v>
      </c>
      <c r="E13" s="3" t="s">
        <v>158</v>
      </c>
      <c r="F13" s="9">
        <v>6850</v>
      </c>
      <c r="G13" s="3" t="s">
        <v>2</v>
      </c>
    </row>
    <row r="14" spans="1:9" ht="18.75" x14ac:dyDescent="0.3">
      <c r="A14" s="3" t="s">
        <v>35</v>
      </c>
      <c r="B14" s="5">
        <v>9629111188</v>
      </c>
      <c r="C14" s="3" t="s">
        <v>41</v>
      </c>
      <c r="D14" s="5">
        <v>1650</v>
      </c>
      <c r="E14" s="3" t="s">
        <v>161</v>
      </c>
      <c r="F14" s="9">
        <v>1550</v>
      </c>
      <c r="G14" s="3" t="s">
        <v>2</v>
      </c>
      <c r="H14" s="47" t="s">
        <v>181</v>
      </c>
    </row>
    <row r="15" spans="1:9" ht="18.75" x14ac:dyDescent="0.3">
      <c r="A15" s="8" t="s">
        <v>45</v>
      </c>
      <c r="B15" s="5">
        <v>7904622354</v>
      </c>
      <c r="C15" s="3" t="s">
        <v>46</v>
      </c>
      <c r="D15" s="5">
        <v>3200</v>
      </c>
      <c r="E15" s="3" t="s">
        <v>158</v>
      </c>
      <c r="F15" s="16">
        <v>3200</v>
      </c>
      <c r="G15" s="3" t="s">
        <v>47</v>
      </c>
    </row>
    <row r="16" spans="1:9" ht="18.75" x14ac:dyDescent="0.3">
      <c r="A16" s="8" t="s">
        <v>98</v>
      </c>
      <c r="B16" s="5">
        <v>7299176991</v>
      </c>
      <c r="C16" s="3" t="s">
        <v>73</v>
      </c>
      <c r="D16" s="5">
        <v>2000</v>
      </c>
      <c r="E16" s="5" t="s">
        <v>130</v>
      </c>
      <c r="F16" s="16">
        <v>2000</v>
      </c>
      <c r="G16" s="3" t="s">
        <v>51</v>
      </c>
      <c r="H16" t="s">
        <v>72</v>
      </c>
    </row>
    <row r="17" spans="1:11" ht="18.75" x14ac:dyDescent="0.3">
      <c r="A17" s="3" t="s">
        <v>60</v>
      </c>
      <c r="B17" s="5">
        <v>8925124442</v>
      </c>
      <c r="C17" s="3"/>
      <c r="D17" s="5">
        <v>5000</v>
      </c>
      <c r="E17" s="3" t="s">
        <v>153</v>
      </c>
      <c r="F17" s="9">
        <v>13000</v>
      </c>
      <c r="G17" s="3" t="s">
        <v>2</v>
      </c>
      <c r="H17" t="s">
        <v>156</v>
      </c>
      <c r="J17" s="35" t="s">
        <v>159</v>
      </c>
      <c r="K17" s="35"/>
    </row>
    <row r="18" spans="1:11" ht="18.75" x14ac:dyDescent="0.3">
      <c r="A18" s="8" t="s">
        <v>92</v>
      </c>
      <c r="B18" s="30">
        <v>9962394371</v>
      </c>
      <c r="C18" s="8" t="s">
        <v>93</v>
      </c>
      <c r="D18" s="30">
        <v>1400</v>
      </c>
      <c r="E18" s="3" t="s">
        <v>134</v>
      </c>
      <c r="F18" s="31">
        <v>1400</v>
      </c>
      <c r="G18" s="3" t="s">
        <v>51</v>
      </c>
    </row>
    <row r="19" spans="1:11" ht="18.75" x14ac:dyDescent="0.3">
      <c r="A19" s="3" t="s">
        <v>96</v>
      </c>
      <c r="B19" s="5">
        <v>9677143341</v>
      </c>
      <c r="C19" s="3" t="s">
        <v>93</v>
      </c>
      <c r="D19" s="5">
        <v>4000</v>
      </c>
      <c r="E19" s="3"/>
      <c r="F19" s="31"/>
      <c r="G19" s="3"/>
      <c r="H19" s="36" t="s">
        <v>6</v>
      </c>
    </row>
    <row r="20" spans="1:11" ht="18.75" x14ac:dyDescent="0.3">
      <c r="A20" s="3" t="s">
        <v>110</v>
      </c>
      <c r="B20" s="5">
        <v>6369483302</v>
      </c>
      <c r="C20" s="3" t="s">
        <v>111</v>
      </c>
      <c r="D20" s="5">
        <v>2600</v>
      </c>
      <c r="E20" s="3"/>
      <c r="F20" s="31"/>
      <c r="G20" s="3"/>
      <c r="H20" s="49" t="s">
        <v>162</v>
      </c>
    </row>
    <row r="21" spans="1:11" ht="18.75" x14ac:dyDescent="0.3">
      <c r="A21" s="3" t="s">
        <v>113</v>
      </c>
      <c r="B21" s="5">
        <v>8148141825</v>
      </c>
      <c r="C21" s="3" t="s">
        <v>106</v>
      </c>
      <c r="D21" s="5">
        <v>1600</v>
      </c>
      <c r="E21" s="3" t="s">
        <v>163</v>
      </c>
      <c r="F21" s="31">
        <v>1600</v>
      </c>
      <c r="G21" s="3" t="s">
        <v>2</v>
      </c>
      <c r="H21" s="32"/>
    </row>
    <row r="22" spans="1:11" ht="18.75" x14ac:dyDescent="0.3">
      <c r="A22" s="21" t="s">
        <v>122</v>
      </c>
      <c r="B22" s="22">
        <v>7305683763</v>
      </c>
      <c r="C22" s="21" t="s">
        <v>116</v>
      </c>
      <c r="D22" s="5">
        <v>2500</v>
      </c>
      <c r="E22" s="3"/>
      <c r="F22" s="31"/>
      <c r="G22" s="3"/>
      <c r="H22" s="35" t="s">
        <v>169</v>
      </c>
    </row>
    <row r="23" spans="1:11" ht="18.75" x14ac:dyDescent="0.3">
      <c r="A23" s="3" t="s">
        <v>125</v>
      </c>
      <c r="B23" s="5">
        <v>8754873426</v>
      </c>
      <c r="C23" s="3" t="s">
        <v>126</v>
      </c>
      <c r="D23" s="5">
        <v>2100</v>
      </c>
      <c r="E23" s="3"/>
      <c r="F23" s="31"/>
      <c r="G23" s="3"/>
      <c r="H23" s="35" t="s">
        <v>170</v>
      </c>
    </row>
    <row r="24" spans="1:11" ht="18.75" x14ac:dyDescent="0.3">
      <c r="A24" s="3" t="s">
        <v>127</v>
      </c>
      <c r="B24" s="5">
        <v>9952310362</v>
      </c>
      <c r="C24" s="3" t="s">
        <v>128</v>
      </c>
      <c r="D24" s="5">
        <v>2200</v>
      </c>
      <c r="E24" s="3"/>
      <c r="F24" s="31"/>
      <c r="G24" s="3"/>
      <c r="H24" s="35" t="s">
        <v>168</v>
      </c>
    </row>
    <row r="25" spans="1:11" ht="18.75" x14ac:dyDescent="0.3">
      <c r="A25" s="3"/>
      <c r="B25" s="5">
        <v>9042512491</v>
      </c>
      <c r="C25" s="3"/>
      <c r="D25" s="5"/>
      <c r="E25" s="3"/>
      <c r="F25" s="31"/>
      <c r="G25" s="3"/>
    </row>
    <row r="26" spans="1:11" ht="18.75" x14ac:dyDescent="0.3">
      <c r="A26" s="3" t="s">
        <v>113</v>
      </c>
      <c r="B26" s="5">
        <v>8148141825</v>
      </c>
      <c r="C26" s="3" t="s">
        <v>129</v>
      </c>
      <c r="D26" s="5">
        <v>1600</v>
      </c>
      <c r="E26" s="3" t="s">
        <v>163</v>
      </c>
      <c r="F26" s="31">
        <v>1600</v>
      </c>
      <c r="G26" s="3" t="s">
        <v>2</v>
      </c>
    </row>
    <row r="27" spans="1:11" ht="18.75" x14ac:dyDescent="0.3">
      <c r="A27" s="3" t="s">
        <v>135</v>
      </c>
      <c r="B27" s="5">
        <v>9043550014</v>
      </c>
      <c r="C27" s="3" t="s">
        <v>136</v>
      </c>
      <c r="D27" s="5">
        <v>2150</v>
      </c>
      <c r="E27" s="3"/>
      <c r="F27" s="31"/>
      <c r="G27" s="3"/>
      <c r="H27" s="35" t="s">
        <v>168</v>
      </c>
    </row>
    <row r="28" spans="1:11" ht="18.75" x14ac:dyDescent="0.3">
      <c r="A28" s="3" t="s">
        <v>132</v>
      </c>
      <c r="B28" s="5">
        <v>6369398270</v>
      </c>
      <c r="C28" s="3" t="s">
        <v>130</v>
      </c>
      <c r="D28" s="5">
        <v>1500</v>
      </c>
      <c r="E28" s="3" t="s">
        <v>130</v>
      </c>
      <c r="F28" s="31">
        <v>1500</v>
      </c>
      <c r="G28" s="3" t="s">
        <v>51</v>
      </c>
    </row>
    <row r="29" spans="1:11" ht="18.75" x14ac:dyDescent="0.3">
      <c r="A29" s="3" t="s">
        <v>149</v>
      </c>
      <c r="B29" s="5">
        <v>9841022100</v>
      </c>
      <c r="C29" s="3" t="s">
        <v>140</v>
      </c>
      <c r="D29" s="5">
        <v>2250</v>
      </c>
      <c r="E29" s="3" t="s">
        <v>140</v>
      </c>
      <c r="F29" s="16">
        <v>2250</v>
      </c>
      <c r="G29" s="3" t="s">
        <v>51</v>
      </c>
    </row>
    <row r="30" spans="1:11" ht="18.75" x14ac:dyDescent="0.3">
      <c r="A30" s="3" t="s">
        <v>113</v>
      </c>
      <c r="B30" s="5">
        <v>8148141825</v>
      </c>
      <c r="C30" s="46" t="s">
        <v>150</v>
      </c>
      <c r="D30" s="5">
        <v>3200</v>
      </c>
      <c r="E30" s="3" t="s">
        <v>150</v>
      </c>
      <c r="F30" s="31">
        <v>3200</v>
      </c>
      <c r="G30" s="3" t="s">
        <v>51</v>
      </c>
    </row>
    <row r="31" spans="1:11" ht="18.75" x14ac:dyDescent="0.3">
      <c r="A31" s="3" t="s">
        <v>160</v>
      </c>
      <c r="B31" s="5">
        <v>8825663180</v>
      </c>
      <c r="C31" s="3" t="s">
        <v>161</v>
      </c>
      <c r="D31" s="5">
        <v>1750</v>
      </c>
      <c r="E31" s="3" t="s">
        <v>161</v>
      </c>
      <c r="F31" s="31">
        <v>1850</v>
      </c>
      <c r="G31" s="3" t="s">
        <v>51</v>
      </c>
    </row>
    <row r="32" spans="1:11" ht="18.75" x14ac:dyDescent="0.3">
      <c r="A32" s="3" t="s">
        <v>171</v>
      </c>
      <c r="B32" s="5">
        <v>8056290661</v>
      </c>
      <c r="C32" s="3" t="s">
        <v>164</v>
      </c>
      <c r="D32" s="5">
        <v>600</v>
      </c>
      <c r="E32" s="3" t="s">
        <v>164</v>
      </c>
      <c r="F32" s="31">
        <v>10600</v>
      </c>
      <c r="G32" s="3" t="s">
        <v>2</v>
      </c>
    </row>
    <row r="33" spans="1:12" ht="18.75" x14ac:dyDescent="0.3">
      <c r="A33" s="3" t="s">
        <v>165</v>
      </c>
      <c r="B33" s="5">
        <v>9962842598</v>
      </c>
      <c r="C33" s="3" t="s">
        <v>164</v>
      </c>
      <c r="D33" s="5">
        <v>2000</v>
      </c>
      <c r="E33" s="3" t="s">
        <v>164</v>
      </c>
      <c r="F33" s="31">
        <v>2200</v>
      </c>
      <c r="G33" s="3" t="s">
        <v>51</v>
      </c>
    </row>
    <row r="34" spans="1:12" ht="18.5" x14ac:dyDescent="0.45">
      <c r="A34" s="3" t="s">
        <v>172</v>
      </c>
      <c r="B34" s="5">
        <v>9940114567</v>
      </c>
      <c r="C34" s="3" t="s">
        <v>173</v>
      </c>
      <c r="D34" s="5">
        <v>1400</v>
      </c>
      <c r="E34" s="3" t="s">
        <v>173</v>
      </c>
      <c r="F34" s="31">
        <v>5800</v>
      </c>
      <c r="G34" s="3" t="s">
        <v>47</v>
      </c>
    </row>
    <row r="35" spans="1:12" ht="18.5" x14ac:dyDescent="0.45">
      <c r="A35" s="3" t="s">
        <v>175</v>
      </c>
      <c r="B35" s="5">
        <v>9080260674</v>
      </c>
      <c r="C35" s="3" t="s">
        <v>176</v>
      </c>
      <c r="D35" s="5">
        <v>2000</v>
      </c>
      <c r="E35" s="3" t="s">
        <v>176</v>
      </c>
      <c r="F35" s="31">
        <v>2200</v>
      </c>
      <c r="G35" s="3" t="s">
        <v>51</v>
      </c>
    </row>
    <row r="36" spans="1:12" ht="18.5" x14ac:dyDescent="0.45">
      <c r="A36" s="3" t="s">
        <v>185</v>
      </c>
      <c r="B36" s="5">
        <v>8428000331</v>
      </c>
      <c r="C36" s="3" t="s">
        <v>184</v>
      </c>
      <c r="D36" s="5">
        <v>1700</v>
      </c>
      <c r="E36" s="3" t="s">
        <v>184</v>
      </c>
      <c r="F36" s="31">
        <v>6800</v>
      </c>
      <c r="G36" s="3" t="s">
        <v>51</v>
      </c>
    </row>
    <row r="37" spans="1:12" ht="18.5" x14ac:dyDescent="0.45">
      <c r="A37" s="3"/>
      <c r="B37" s="5"/>
      <c r="C37" s="3"/>
      <c r="D37" s="3"/>
      <c r="E37" s="3"/>
      <c r="F37" s="31"/>
      <c r="G37" s="3"/>
    </row>
    <row r="38" spans="1:12" ht="18.5" x14ac:dyDescent="0.45">
      <c r="A38" s="3"/>
      <c r="B38" s="5"/>
      <c r="C38" s="3"/>
      <c r="D38" s="3"/>
      <c r="E38" s="3"/>
      <c r="F38" s="31"/>
      <c r="G38" s="3"/>
    </row>
    <row r="39" spans="1:12" ht="18.5" x14ac:dyDescent="0.45">
      <c r="A39" s="3"/>
      <c r="B39" s="5"/>
      <c r="C39" s="3"/>
      <c r="D39" s="3"/>
      <c r="E39" s="3"/>
      <c r="F39" s="57">
        <v>101550</v>
      </c>
      <c r="G39" s="3"/>
    </row>
    <row r="43" spans="1:12" x14ac:dyDescent="0.35">
      <c r="C43" s="20" t="s">
        <v>66</v>
      </c>
      <c r="D43" s="20"/>
    </row>
    <row r="44" spans="1:12" x14ac:dyDescent="0.35">
      <c r="D44" s="19"/>
      <c r="E44" s="19"/>
      <c r="F44" s="19"/>
      <c r="G44" s="19"/>
    </row>
    <row r="45" spans="1:12" x14ac:dyDescent="0.35">
      <c r="A45" s="40" t="s">
        <v>188</v>
      </c>
      <c r="B45" s="4"/>
      <c r="C45" s="40" t="s">
        <v>88</v>
      </c>
      <c r="D45" s="40" t="s">
        <v>82</v>
      </c>
      <c r="E45" s="40" t="s">
        <v>89</v>
      </c>
      <c r="F45" s="40" t="s">
        <v>69</v>
      </c>
      <c r="G45" s="40" t="s">
        <v>69</v>
      </c>
      <c r="H45" s="40" t="s">
        <v>84</v>
      </c>
      <c r="I45" s="40" t="s">
        <v>85</v>
      </c>
      <c r="J45" s="40" t="s">
        <v>90</v>
      </c>
      <c r="K45" s="4"/>
      <c r="L45" s="4"/>
    </row>
    <row r="46" spans="1:12" ht="18.5" x14ac:dyDescent="0.45">
      <c r="A46" s="3" t="s">
        <v>142</v>
      </c>
      <c r="B46" s="3">
        <v>9943084508</v>
      </c>
      <c r="C46" s="3" t="s">
        <v>130</v>
      </c>
      <c r="D46" s="41">
        <v>14</v>
      </c>
      <c r="E46" s="42">
        <v>29815</v>
      </c>
      <c r="F46" s="41">
        <v>2683</v>
      </c>
      <c r="G46" s="41">
        <v>2683</v>
      </c>
      <c r="H46" s="41">
        <v>35182</v>
      </c>
      <c r="I46" s="5" t="s">
        <v>140</v>
      </c>
      <c r="J46" s="3"/>
      <c r="K46" s="3"/>
      <c r="L46" s="4"/>
    </row>
    <row r="47" spans="1:12" ht="18.5" x14ac:dyDescent="0.45">
      <c r="A47" s="3" t="s">
        <v>142</v>
      </c>
      <c r="B47" s="3">
        <v>9943084508</v>
      </c>
      <c r="C47" s="3" t="s">
        <v>130</v>
      </c>
      <c r="D47" s="41">
        <v>15</v>
      </c>
      <c r="E47" s="41">
        <v>7500</v>
      </c>
      <c r="F47" s="41">
        <v>675</v>
      </c>
      <c r="G47" s="41">
        <v>675</v>
      </c>
      <c r="H47" s="41">
        <v>8850</v>
      </c>
      <c r="I47" s="5" t="s">
        <v>140</v>
      </c>
      <c r="J47" s="3"/>
      <c r="K47" s="3"/>
      <c r="L47" s="4"/>
    </row>
    <row r="48" spans="1:12" ht="18.5" x14ac:dyDescent="0.45">
      <c r="A48" s="3" t="s">
        <v>119</v>
      </c>
      <c r="B48" s="3"/>
      <c r="C48" s="3" t="s">
        <v>145</v>
      </c>
      <c r="D48" s="41">
        <v>16</v>
      </c>
      <c r="E48" s="41">
        <v>27200</v>
      </c>
      <c r="F48" s="41">
        <v>2448</v>
      </c>
      <c r="G48" s="41">
        <v>2448</v>
      </c>
      <c r="H48" s="41">
        <v>32096</v>
      </c>
      <c r="I48" s="5" t="s">
        <v>153</v>
      </c>
      <c r="J48" s="3"/>
      <c r="K48" s="3"/>
      <c r="L48" s="4"/>
    </row>
    <row r="49" spans="1:12" ht="18.5" x14ac:dyDescent="0.45">
      <c r="A49" s="3" t="s">
        <v>146</v>
      </c>
      <c r="B49" s="3">
        <v>9176512318</v>
      </c>
      <c r="C49" s="3" t="s">
        <v>145</v>
      </c>
      <c r="D49" s="41">
        <v>17</v>
      </c>
      <c r="E49" s="42">
        <v>47250</v>
      </c>
      <c r="F49" s="41">
        <v>4252.5</v>
      </c>
      <c r="G49" s="41">
        <v>4252.5</v>
      </c>
      <c r="H49" s="41">
        <v>55755</v>
      </c>
      <c r="I49" s="5"/>
      <c r="J49" s="54" t="s">
        <v>220</v>
      </c>
      <c r="K49" s="3"/>
      <c r="L49" s="4"/>
    </row>
    <row r="50" spans="1:12" ht="18.5" x14ac:dyDescent="0.45">
      <c r="A50" s="3" t="s">
        <v>147</v>
      </c>
      <c r="B50" s="3">
        <v>9840439660</v>
      </c>
      <c r="C50" s="3" t="s">
        <v>140</v>
      </c>
      <c r="D50" s="41">
        <v>18</v>
      </c>
      <c r="E50" s="41">
        <v>2000</v>
      </c>
      <c r="F50" s="41">
        <v>180</v>
      </c>
      <c r="G50" s="41">
        <v>180</v>
      </c>
      <c r="H50" s="41">
        <v>2360</v>
      </c>
      <c r="I50" s="5" t="s">
        <v>243</v>
      </c>
      <c r="J50" s="3" t="s">
        <v>244</v>
      </c>
      <c r="K50" s="3"/>
      <c r="L50" s="4"/>
    </row>
    <row r="51" spans="1:12" ht="18.5" x14ac:dyDescent="0.45">
      <c r="A51" s="3" t="s">
        <v>148</v>
      </c>
      <c r="B51" s="3">
        <v>9710453983</v>
      </c>
      <c r="C51" s="3" t="s">
        <v>140</v>
      </c>
      <c r="D51" s="41">
        <v>19</v>
      </c>
      <c r="E51" s="41">
        <v>6000</v>
      </c>
      <c r="F51" s="41">
        <v>540</v>
      </c>
      <c r="G51" s="41">
        <v>540</v>
      </c>
      <c r="H51" s="41">
        <v>7080</v>
      </c>
      <c r="I51" s="5" t="s">
        <v>204</v>
      </c>
      <c r="J51" s="43" t="s">
        <v>236</v>
      </c>
      <c r="K51" s="3"/>
      <c r="L51" s="4"/>
    </row>
    <row r="52" spans="1:12" ht="18.5" x14ac:dyDescent="0.45">
      <c r="A52" s="3" t="s">
        <v>151</v>
      </c>
      <c r="B52" s="5">
        <v>9841309841</v>
      </c>
      <c r="C52" s="3" t="s">
        <v>152</v>
      </c>
      <c r="D52" s="41">
        <v>20</v>
      </c>
      <c r="E52" s="41">
        <v>2300</v>
      </c>
      <c r="F52" s="41">
        <v>207</v>
      </c>
      <c r="G52" s="41">
        <v>207</v>
      </c>
      <c r="H52" s="41">
        <v>2714</v>
      </c>
      <c r="I52" s="5" t="s">
        <v>152</v>
      </c>
      <c r="J52" s="3"/>
      <c r="K52" s="3"/>
      <c r="L52" s="4"/>
    </row>
    <row r="53" spans="1:12" ht="18.5" x14ac:dyDescent="0.45">
      <c r="A53" s="3" t="s">
        <v>253</v>
      </c>
      <c r="B53" s="3">
        <v>9344659805</v>
      </c>
      <c r="C53" s="3" t="s">
        <v>161</v>
      </c>
      <c r="D53" s="41">
        <v>21</v>
      </c>
      <c r="E53" s="41">
        <v>12034</v>
      </c>
      <c r="F53" s="41">
        <v>1083</v>
      </c>
      <c r="G53" s="41">
        <v>1083</v>
      </c>
      <c r="H53" s="41">
        <v>14200</v>
      </c>
      <c r="I53" s="5" t="s">
        <v>182</v>
      </c>
      <c r="J53" s="3"/>
      <c r="K53" s="3"/>
      <c r="L53" s="4"/>
    </row>
    <row r="54" spans="1:12" ht="18.5" x14ac:dyDescent="0.45">
      <c r="A54" s="3" t="s">
        <v>252</v>
      </c>
      <c r="B54" s="5">
        <v>9884123865</v>
      </c>
      <c r="C54" s="3" t="s">
        <v>161</v>
      </c>
      <c r="D54" s="41">
        <v>22</v>
      </c>
      <c r="E54" s="41">
        <v>1400</v>
      </c>
      <c r="F54" s="41">
        <v>126</v>
      </c>
      <c r="G54" s="41">
        <v>126</v>
      </c>
      <c r="H54" s="41">
        <v>1652</v>
      </c>
      <c r="I54" s="5" t="s">
        <v>167</v>
      </c>
      <c r="J54" s="3"/>
      <c r="K54" s="3"/>
      <c r="L54" s="4"/>
    </row>
    <row r="55" spans="1:12" ht="18.5" x14ac:dyDescent="0.45">
      <c r="A55" s="3" t="s">
        <v>144</v>
      </c>
      <c r="B55" s="5">
        <v>9943084508</v>
      </c>
      <c r="C55" s="3" t="s">
        <v>164</v>
      </c>
      <c r="D55" s="41">
        <v>23</v>
      </c>
      <c r="E55" s="41">
        <v>5000</v>
      </c>
      <c r="F55" s="41">
        <v>450</v>
      </c>
      <c r="G55" s="41">
        <v>450</v>
      </c>
      <c r="H55" s="41">
        <v>5900</v>
      </c>
      <c r="I55" s="5" t="s">
        <v>232</v>
      </c>
      <c r="J55" s="5"/>
      <c r="K55" s="3"/>
      <c r="L55" s="3"/>
    </row>
    <row r="56" spans="1:12" ht="18.5" x14ac:dyDescent="0.45">
      <c r="A56" s="3" t="s">
        <v>166</v>
      </c>
      <c r="B56" s="5"/>
      <c r="C56" s="3" t="s">
        <v>164</v>
      </c>
      <c r="D56" s="41">
        <v>24</v>
      </c>
      <c r="E56" s="41">
        <v>52165</v>
      </c>
      <c r="F56" s="41">
        <v>4694.8500000000004</v>
      </c>
      <c r="G56" s="41">
        <v>4694.8500000000004</v>
      </c>
      <c r="H56" s="41">
        <v>61555</v>
      </c>
      <c r="I56" s="5" t="s">
        <v>164</v>
      </c>
      <c r="J56" s="5"/>
      <c r="K56" s="3"/>
      <c r="L56" s="3"/>
    </row>
    <row r="57" spans="1:12" ht="18.5" x14ac:dyDescent="0.45">
      <c r="A57" s="3" t="s">
        <v>206</v>
      </c>
      <c r="B57" s="5">
        <v>9841309841</v>
      </c>
      <c r="C57" s="3" t="s">
        <v>167</v>
      </c>
      <c r="D57" s="41">
        <v>25</v>
      </c>
      <c r="E57" s="41">
        <v>1650</v>
      </c>
      <c r="F57" s="41">
        <v>148.5</v>
      </c>
      <c r="G57" s="41">
        <v>148.5</v>
      </c>
      <c r="H57" s="41">
        <v>1947</v>
      </c>
      <c r="I57" s="5" t="s">
        <v>167</v>
      </c>
      <c r="J57" s="5"/>
      <c r="K57" s="3"/>
      <c r="L57" s="3"/>
    </row>
    <row r="58" spans="1:12" ht="18.5" x14ac:dyDescent="0.45">
      <c r="A58" s="3" t="s">
        <v>180</v>
      </c>
      <c r="B58" s="5"/>
      <c r="C58" s="3" t="s">
        <v>173</v>
      </c>
      <c r="D58" s="41">
        <v>26</v>
      </c>
      <c r="E58" s="41">
        <v>4350</v>
      </c>
      <c r="F58" s="41">
        <v>391.5</v>
      </c>
      <c r="G58" s="41">
        <v>391.5</v>
      </c>
      <c r="H58" s="41">
        <v>5133</v>
      </c>
      <c r="I58" s="5" t="s">
        <v>243</v>
      </c>
      <c r="J58" s="5"/>
      <c r="K58" s="3"/>
      <c r="L58" s="3"/>
    </row>
    <row r="59" spans="1:12" ht="18.5" x14ac:dyDescent="0.45">
      <c r="A59" s="3" t="s">
        <v>70</v>
      </c>
      <c r="B59" s="5">
        <v>9840053400</v>
      </c>
      <c r="C59" s="3" t="s">
        <v>176</v>
      </c>
      <c r="D59" s="41">
        <v>27</v>
      </c>
      <c r="E59" s="41">
        <v>5600</v>
      </c>
      <c r="F59" s="41">
        <v>504</v>
      </c>
      <c r="G59" s="41">
        <v>504</v>
      </c>
      <c r="H59" s="41">
        <v>6608</v>
      </c>
      <c r="I59" s="3" t="s">
        <v>256</v>
      </c>
      <c r="J59" s="3"/>
      <c r="K59" s="3"/>
      <c r="L59" s="3"/>
    </row>
    <row r="60" spans="1:12" ht="18.5" x14ac:dyDescent="0.45">
      <c r="A60" s="3" t="s">
        <v>78</v>
      </c>
      <c r="B60" s="5">
        <v>9962096299</v>
      </c>
      <c r="C60" s="3" t="s">
        <v>176</v>
      </c>
      <c r="D60" s="41">
        <v>28</v>
      </c>
      <c r="E60" s="41">
        <v>2500</v>
      </c>
      <c r="F60" s="41">
        <v>225</v>
      </c>
      <c r="G60" s="41">
        <v>225</v>
      </c>
      <c r="H60" s="87">
        <v>2950</v>
      </c>
      <c r="I60" s="3" t="s">
        <v>367</v>
      </c>
      <c r="J60" s="59" t="s">
        <v>229</v>
      </c>
      <c r="K60" s="3"/>
      <c r="L60" s="3"/>
    </row>
    <row r="61" spans="1:12" ht="18.5" x14ac:dyDescent="0.45">
      <c r="A61" s="43" t="s">
        <v>78</v>
      </c>
      <c r="B61" s="5">
        <v>9962096299</v>
      </c>
      <c r="C61" s="3" t="s">
        <v>176</v>
      </c>
      <c r="D61" s="41">
        <v>29</v>
      </c>
      <c r="E61" s="41">
        <v>4000</v>
      </c>
      <c r="F61" s="41">
        <v>360</v>
      </c>
      <c r="G61" s="41">
        <v>360</v>
      </c>
      <c r="H61" s="87">
        <v>4720</v>
      </c>
      <c r="I61" s="3" t="s">
        <v>367</v>
      </c>
      <c r="J61" s="59" t="s">
        <v>447</v>
      </c>
      <c r="K61" s="3"/>
      <c r="L61" s="3"/>
    </row>
    <row r="62" spans="1:12" ht="18.5" x14ac:dyDescent="0.45">
      <c r="A62" s="43" t="s">
        <v>183</v>
      </c>
      <c r="B62" s="5">
        <v>9344930258</v>
      </c>
      <c r="C62" s="3" t="s">
        <v>184</v>
      </c>
      <c r="D62" s="41">
        <v>30</v>
      </c>
      <c r="E62" s="41">
        <v>8000</v>
      </c>
      <c r="F62" s="41">
        <v>720</v>
      </c>
      <c r="G62" s="41">
        <v>720</v>
      </c>
      <c r="H62" s="41">
        <v>9440</v>
      </c>
      <c r="I62" s="3" t="s">
        <v>203</v>
      </c>
      <c r="J62" s="3"/>
      <c r="K62" s="3"/>
      <c r="L62" s="3"/>
    </row>
    <row r="63" spans="1:12" ht="18.5" x14ac:dyDescent="0.45">
      <c r="A63" s="3"/>
      <c r="B63" s="5"/>
      <c r="C63" s="5"/>
      <c r="D63" s="5"/>
      <c r="E63" s="5"/>
      <c r="F63" s="5"/>
      <c r="G63" s="5"/>
      <c r="H63" s="3"/>
      <c r="I63" s="3"/>
      <c r="J63" s="3"/>
      <c r="K63" s="3"/>
      <c r="L63" s="3"/>
    </row>
    <row r="64" spans="1:12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opLeftCell="A28" workbookViewId="0">
      <selection activeCell="J11" sqref="J11"/>
    </sheetView>
  </sheetViews>
  <sheetFormatPr defaultRowHeight="14.5" x14ac:dyDescent="0.35"/>
  <cols>
    <col min="1" max="1" width="42.1796875" customWidth="1"/>
    <col min="2" max="2" width="17.1796875" bestFit="1" customWidth="1"/>
    <col min="3" max="3" width="11.54296875" customWidth="1"/>
    <col min="4" max="4" width="9" customWidth="1"/>
    <col min="5" max="5" width="12.26953125" customWidth="1"/>
    <col min="6" max="6" width="9.81640625" bestFit="1" customWidth="1"/>
    <col min="7" max="7" width="20" bestFit="1" customWidth="1"/>
    <col min="8" max="8" width="23.81640625" bestFit="1" customWidth="1"/>
    <col min="9" max="9" width="15.7265625" bestFit="1" customWidth="1"/>
    <col min="10" max="10" width="30.453125" bestFit="1" customWidth="1"/>
  </cols>
  <sheetData>
    <row r="1" spans="1:12" ht="18.75" x14ac:dyDescent="0.3">
      <c r="A1" s="3" t="s">
        <v>0</v>
      </c>
      <c r="B1" s="5">
        <v>7299917887</v>
      </c>
      <c r="C1" s="3"/>
      <c r="D1" s="5">
        <v>14500</v>
      </c>
      <c r="E1" s="3" t="s">
        <v>250</v>
      </c>
      <c r="F1" s="17">
        <v>29000</v>
      </c>
      <c r="G1" s="3" t="s">
        <v>2</v>
      </c>
      <c r="H1" s="64" t="s">
        <v>344</v>
      </c>
    </row>
    <row r="2" spans="1:12" ht="18.75" x14ac:dyDescent="0.3">
      <c r="A2" s="3" t="s">
        <v>7</v>
      </c>
      <c r="B2" s="3">
        <v>9840168557</v>
      </c>
      <c r="C2" s="3"/>
      <c r="D2" s="5">
        <v>3200</v>
      </c>
      <c r="E2" s="3"/>
      <c r="F2" s="9"/>
      <c r="G2" s="3"/>
      <c r="H2" s="64"/>
    </row>
    <row r="3" spans="1:12" ht="18.75" x14ac:dyDescent="0.3">
      <c r="A3" s="3" t="s">
        <v>38</v>
      </c>
      <c r="B3" s="3">
        <v>9500649518</v>
      </c>
      <c r="C3" s="3"/>
      <c r="D3" s="5">
        <v>2000</v>
      </c>
      <c r="E3" s="3"/>
      <c r="F3" s="9"/>
      <c r="G3" s="3"/>
      <c r="H3" s="64" t="s">
        <v>260</v>
      </c>
    </row>
    <row r="4" spans="1:12" ht="18.75" x14ac:dyDescent="0.3">
      <c r="A4" s="3" t="s">
        <v>17</v>
      </c>
      <c r="B4" s="3">
        <v>8681905148</v>
      </c>
      <c r="C4" s="3" t="s">
        <v>15</v>
      </c>
      <c r="D4" s="5">
        <v>1500</v>
      </c>
      <c r="E4" s="3" t="s">
        <v>270</v>
      </c>
      <c r="F4" s="9">
        <v>1400</v>
      </c>
      <c r="G4" s="3" t="s">
        <v>2</v>
      </c>
      <c r="H4" s="64" t="s">
        <v>277</v>
      </c>
    </row>
    <row r="5" spans="1:12" ht="18.75" x14ac:dyDescent="0.3">
      <c r="A5" s="3" t="s">
        <v>37</v>
      </c>
      <c r="B5" s="3">
        <v>6369434821</v>
      </c>
      <c r="C5" s="3" t="s">
        <v>19</v>
      </c>
      <c r="D5" s="5">
        <v>1750</v>
      </c>
      <c r="E5" s="3"/>
      <c r="F5" s="76" t="s">
        <v>6</v>
      </c>
      <c r="G5" s="3"/>
      <c r="H5" s="70" t="s">
        <v>258</v>
      </c>
    </row>
    <row r="6" spans="1:12" ht="18.75" x14ac:dyDescent="0.3">
      <c r="A6" s="3" t="s">
        <v>36</v>
      </c>
      <c r="B6" s="3">
        <v>7904401435</v>
      </c>
      <c r="C6" s="3" t="s">
        <v>23</v>
      </c>
      <c r="D6" s="5">
        <v>2000</v>
      </c>
      <c r="E6" s="3"/>
      <c r="F6" s="9"/>
      <c r="G6" s="3"/>
      <c r="H6" s="65" t="s">
        <v>225</v>
      </c>
      <c r="I6" s="1" t="s">
        <v>273</v>
      </c>
    </row>
    <row r="7" spans="1:12" ht="18.75" x14ac:dyDescent="0.3">
      <c r="A7" s="3" t="s">
        <v>24</v>
      </c>
      <c r="B7" s="5">
        <v>9840940298</v>
      </c>
      <c r="C7" s="3" t="s">
        <v>5</v>
      </c>
      <c r="D7" s="5">
        <v>3000</v>
      </c>
      <c r="E7" s="3" t="s">
        <v>186</v>
      </c>
      <c r="F7" s="9">
        <v>3000</v>
      </c>
      <c r="G7" s="3" t="s">
        <v>47</v>
      </c>
      <c r="H7" s="70" t="s">
        <v>105</v>
      </c>
    </row>
    <row r="8" spans="1:12" ht="18.75" x14ac:dyDescent="0.3">
      <c r="A8" s="8" t="s">
        <v>257</v>
      </c>
      <c r="B8" s="5">
        <v>8190057517</v>
      </c>
      <c r="C8" s="3" t="s">
        <v>44</v>
      </c>
      <c r="D8" s="13">
        <v>1500</v>
      </c>
      <c r="E8" s="3" t="s">
        <v>262</v>
      </c>
      <c r="F8" s="9">
        <v>1500</v>
      </c>
      <c r="G8" s="3" t="s">
        <v>51</v>
      </c>
      <c r="H8" s="64"/>
    </row>
    <row r="9" spans="1:12" ht="18.75" x14ac:dyDescent="0.3">
      <c r="A9" s="8" t="s">
        <v>248</v>
      </c>
      <c r="B9" s="5">
        <v>7550283099</v>
      </c>
      <c r="C9" s="3" t="s">
        <v>44</v>
      </c>
      <c r="D9" s="58">
        <v>6850</v>
      </c>
      <c r="E9" s="3"/>
      <c r="F9" s="9"/>
      <c r="G9" s="3"/>
      <c r="H9" s="64"/>
    </row>
    <row r="10" spans="1:12" ht="18.75" x14ac:dyDescent="0.3">
      <c r="A10" s="3" t="s">
        <v>35</v>
      </c>
      <c r="B10" s="5">
        <v>9629111188</v>
      </c>
      <c r="C10" s="3" t="s">
        <v>41</v>
      </c>
      <c r="D10" s="5">
        <v>1650</v>
      </c>
      <c r="E10" s="3" t="s">
        <v>259</v>
      </c>
      <c r="F10" s="9">
        <v>1500</v>
      </c>
      <c r="G10" s="3" t="s">
        <v>2</v>
      </c>
      <c r="H10" s="65" t="s">
        <v>239</v>
      </c>
    </row>
    <row r="11" spans="1:12" ht="18.75" x14ac:dyDescent="0.3">
      <c r="A11" s="8" t="s">
        <v>45</v>
      </c>
      <c r="B11" s="5">
        <v>7904622354</v>
      </c>
      <c r="C11" s="3" t="s">
        <v>46</v>
      </c>
      <c r="D11" s="5">
        <v>3200</v>
      </c>
      <c r="E11" s="3" t="s">
        <v>226</v>
      </c>
      <c r="F11" s="16">
        <v>3200</v>
      </c>
      <c r="G11" s="3" t="s">
        <v>47</v>
      </c>
      <c r="H11" s="64"/>
      <c r="I11" s="3"/>
    </row>
    <row r="12" spans="1:12" ht="18.75" x14ac:dyDescent="0.3">
      <c r="A12" s="8" t="s">
        <v>98</v>
      </c>
      <c r="B12" s="5">
        <v>7299176991</v>
      </c>
      <c r="C12" s="3" t="s">
        <v>73</v>
      </c>
      <c r="D12" s="5">
        <v>2000</v>
      </c>
      <c r="E12" s="5" t="s">
        <v>195</v>
      </c>
      <c r="F12" s="16">
        <v>2000</v>
      </c>
      <c r="G12" s="3" t="s">
        <v>51</v>
      </c>
      <c r="H12" s="70" t="s">
        <v>303</v>
      </c>
      <c r="J12" s="51"/>
      <c r="K12" s="51"/>
      <c r="L12" s="51"/>
    </row>
    <row r="13" spans="1:12" ht="18.75" x14ac:dyDescent="0.3">
      <c r="A13" s="3" t="s">
        <v>60</v>
      </c>
      <c r="B13" s="5">
        <v>8925124442</v>
      </c>
      <c r="C13" s="3"/>
      <c r="D13" s="5">
        <v>3500</v>
      </c>
      <c r="E13" s="3"/>
      <c r="F13" s="9"/>
      <c r="G13" s="3"/>
      <c r="H13" s="64"/>
      <c r="J13" s="51"/>
      <c r="K13" s="51"/>
      <c r="L13" s="51"/>
    </row>
    <row r="14" spans="1:12" ht="18.75" x14ac:dyDescent="0.3">
      <c r="A14" s="8" t="s">
        <v>92</v>
      </c>
      <c r="B14" s="30">
        <v>9962394371</v>
      </c>
      <c r="C14" s="8" t="s">
        <v>93</v>
      </c>
      <c r="D14" s="30">
        <v>1400</v>
      </c>
      <c r="E14" s="3" t="s">
        <v>208</v>
      </c>
      <c r="F14" s="31">
        <v>1300</v>
      </c>
      <c r="G14" s="3" t="s">
        <v>51</v>
      </c>
      <c r="H14" s="64" t="s">
        <v>303</v>
      </c>
    </row>
    <row r="15" spans="1:12" ht="18.75" x14ac:dyDescent="0.3">
      <c r="A15" s="3" t="s">
        <v>113</v>
      </c>
      <c r="B15" s="5">
        <v>8148141825</v>
      </c>
      <c r="C15" s="3" t="s">
        <v>106</v>
      </c>
      <c r="D15" s="5">
        <v>1600</v>
      </c>
      <c r="E15" s="39" t="s">
        <v>240</v>
      </c>
      <c r="F15" s="31"/>
      <c r="G15" s="3"/>
      <c r="H15" s="66"/>
    </row>
    <row r="16" spans="1:12" ht="18.75" x14ac:dyDescent="0.3">
      <c r="A16" s="3" t="s">
        <v>223</v>
      </c>
      <c r="B16" s="5">
        <v>8148141825</v>
      </c>
      <c r="C16" s="3" t="s">
        <v>129</v>
      </c>
      <c r="D16" s="5">
        <v>1600</v>
      </c>
      <c r="E16" s="39" t="s">
        <v>247</v>
      </c>
      <c r="F16" s="31">
        <v>3200</v>
      </c>
      <c r="G16" s="3" t="s">
        <v>51</v>
      </c>
      <c r="H16" s="64"/>
    </row>
    <row r="17" spans="1:9" ht="18.75" x14ac:dyDescent="0.3">
      <c r="A17" s="3" t="s">
        <v>132</v>
      </c>
      <c r="B17" s="5">
        <v>6369398270</v>
      </c>
      <c r="C17" s="3" t="s">
        <v>130</v>
      </c>
      <c r="D17" s="5">
        <v>1500</v>
      </c>
      <c r="E17" s="3" t="s">
        <v>198</v>
      </c>
      <c r="F17" s="31">
        <v>1500</v>
      </c>
      <c r="G17" s="3" t="s">
        <v>51</v>
      </c>
      <c r="H17" s="64"/>
    </row>
    <row r="18" spans="1:9" ht="18.75" x14ac:dyDescent="0.3">
      <c r="A18" s="3" t="s">
        <v>149</v>
      </c>
      <c r="B18" s="5">
        <v>9841022100</v>
      </c>
      <c r="C18" s="3" t="s">
        <v>140</v>
      </c>
      <c r="D18" s="5">
        <v>2100</v>
      </c>
      <c r="E18" s="3" t="s">
        <v>240</v>
      </c>
      <c r="F18" s="16">
        <v>2100</v>
      </c>
      <c r="G18" s="3" t="s">
        <v>51</v>
      </c>
      <c r="H18" s="64"/>
    </row>
    <row r="19" spans="1:9" ht="18.75" x14ac:dyDescent="0.3">
      <c r="A19" s="3" t="s">
        <v>113</v>
      </c>
      <c r="B19" s="5">
        <v>8148141825</v>
      </c>
      <c r="C19" s="46" t="s">
        <v>150</v>
      </c>
      <c r="D19" s="5">
        <v>3200</v>
      </c>
      <c r="E19" s="3"/>
      <c r="F19" s="76" t="s">
        <v>6</v>
      </c>
      <c r="G19" s="3"/>
      <c r="H19" s="67" t="s">
        <v>246</v>
      </c>
      <c r="I19" s="35"/>
    </row>
    <row r="20" spans="1:9" ht="18.75" x14ac:dyDescent="0.3">
      <c r="A20" s="3" t="s">
        <v>160</v>
      </c>
      <c r="B20" s="5">
        <v>8825663180</v>
      </c>
      <c r="C20" s="3" t="s">
        <v>161</v>
      </c>
      <c r="D20" s="5">
        <v>1750</v>
      </c>
      <c r="E20" s="3" t="s">
        <v>250</v>
      </c>
      <c r="F20" s="31">
        <v>1750</v>
      </c>
      <c r="G20" s="3" t="s">
        <v>51</v>
      </c>
      <c r="H20" s="64"/>
    </row>
    <row r="21" spans="1:9" ht="18.75" x14ac:dyDescent="0.3">
      <c r="A21" s="3" t="s">
        <v>165</v>
      </c>
      <c r="B21" s="5">
        <v>9962842598</v>
      </c>
      <c r="C21" s="3" t="s">
        <v>164</v>
      </c>
      <c r="D21" s="5">
        <v>2000</v>
      </c>
      <c r="E21" s="3" t="s">
        <v>259</v>
      </c>
      <c r="F21" s="31">
        <v>2000</v>
      </c>
      <c r="G21" s="3" t="s">
        <v>51</v>
      </c>
      <c r="H21" s="64"/>
    </row>
    <row r="22" spans="1:9" ht="18.75" x14ac:dyDescent="0.3">
      <c r="A22" s="3" t="s">
        <v>172</v>
      </c>
      <c r="B22" s="5">
        <v>9940114567</v>
      </c>
      <c r="C22" s="3" t="s">
        <v>173</v>
      </c>
      <c r="D22" s="5">
        <v>1400</v>
      </c>
      <c r="E22" s="3" t="s">
        <v>226</v>
      </c>
      <c r="F22" s="31">
        <v>3000</v>
      </c>
      <c r="G22" s="3" t="s">
        <v>51</v>
      </c>
      <c r="H22" s="65" t="s">
        <v>249</v>
      </c>
      <c r="I22" t="s">
        <v>6</v>
      </c>
    </row>
    <row r="23" spans="1:9" ht="18.75" x14ac:dyDescent="0.3">
      <c r="A23" s="3" t="s">
        <v>175</v>
      </c>
      <c r="B23" s="5">
        <v>9080260674</v>
      </c>
      <c r="C23" s="3" t="s">
        <v>176</v>
      </c>
      <c r="D23" s="5">
        <v>2000</v>
      </c>
      <c r="E23" s="3"/>
      <c r="F23" s="31"/>
      <c r="G23" s="3"/>
      <c r="H23" s="64"/>
    </row>
    <row r="24" spans="1:9" ht="18.75" x14ac:dyDescent="0.3">
      <c r="A24" s="3" t="s">
        <v>185</v>
      </c>
      <c r="B24" s="5">
        <v>8428000331</v>
      </c>
      <c r="C24" s="3" t="s">
        <v>184</v>
      </c>
      <c r="D24" s="5">
        <v>1700</v>
      </c>
      <c r="E24" s="3" t="s">
        <v>270</v>
      </c>
      <c r="F24" s="31">
        <v>8100</v>
      </c>
      <c r="G24" s="3" t="s">
        <v>51</v>
      </c>
      <c r="H24" s="64"/>
    </row>
    <row r="25" spans="1:9" ht="18.75" x14ac:dyDescent="0.3">
      <c r="A25" s="3" t="s">
        <v>194</v>
      </c>
      <c r="B25" s="5">
        <v>9941351728</v>
      </c>
      <c r="C25" s="3" t="s">
        <v>195</v>
      </c>
      <c r="D25" s="5">
        <v>3500</v>
      </c>
      <c r="E25" s="3" t="s">
        <v>195</v>
      </c>
      <c r="F25" s="31">
        <v>3500</v>
      </c>
      <c r="G25" s="3" t="s">
        <v>51</v>
      </c>
      <c r="H25" s="64"/>
    </row>
    <row r="26" spans="1:9" ht="18.75" x14ac:dyDescent="0.3">
      <c r="A26" s="3" t="s">
        <v>197</v>
      </c>
      <c r="B26" s="5">
        <v>9360244970</v>
      </c>
      <c r="C26" s="3" t="s">
        <v>198</v>
      </c>
      <c r="D26" s="5">
        <v>1700</v>
      </c>
      <c r="E26" s="3" t="s">
        <v>198</v>
      </c>
      <c r="F26" s="31">
        <v>1700</v>
      </c>
      <c r="G26" s="3" t="s">
        <v>47</v>
      </c>
      <c r="H26" s="64"/>
    </row>
    <row r="27" spans="1:9" ht="18.75" x14ac:dyDescent="0.3">
      <c r="A27" s="3" t="s">
        <v>209</v>
      </c>
      <c r="B27" s="5">
        <v>9150272188</v>
      </c>
      <c r="C27" s="3" t="s">
        <v>199</v>
      </c>
      <c r="D27" s="5">
        <v>1800</v>
      </c>
      <c r="E27" s="3" t="s">
        <v>199</v>
      </c>
      <c r="F27" s="31">
        <v>1500</v>
      </c>
      <c r="G27" s="3" t="s">
        <v>51</v>
      </c>
      <c r="H27" s="64"/>
    </row>
    <row r="28" spans="1:9" ht="18.75" x14ac:dyDescent="0.3">
      <c r="A28" s="3" t="s">
        <v>218</v>
      </c>
      <c r="B28" s="5">
        <v>9786516532</v>
      </c>
      <c r="C28" s="3" t="s">
        <v>200</v>
      </c>
      <c r="D28" s="5">
        <v>4000</v>
      </c>
      <c r="E28" s="3" t="s">
        <v>200</v>
      </c>
      <c r="F28" s="31">
        <v>4000</v>
      </c>
      <c r="G28" s="3" t="s">
        <v>51</v>
      </c>
      <c r="H28" s="64"/>
    </row>
    <row r="29" spans="1:9" ht="18.75" x14ac:dyDescent="0.3">
      <c r="A29" s="3" t="s">
        <v>207</v>
      </c>
      <c r="B29" s="5"/>
      <c r="C29" s="3" t="s">
        <v>198</v>
      </c>
      <c r="D29" s="5"/>
      <c r="E29" s="3"/>
      <c r="F29" s="31"/>
      <c r="G29" s="3"/>
      <c r="H29" s="64"/>
    </row>
    <row r="30" spans="1:9" ht="18.75" x14ac:dyDescent="0.3">
      <c r="A30" s="3" t="s">
        <v>7</v>
      </c>
      <c r="B30" s="5">
        <v>9840168557</v>
      </c>
      <c r="C30" s="3" t="s">
        <v>208</v>
      </c>
      <c r="D30" s="5">
        <v>2000</v>
      </c>
      <c r="E30" s="3" t="s">
        <v>208</v>
      </c>
      <c r="F30" s="31">
        <v>4000</v>
      </c>
      <c r="G30" s="3" t="s">
        <v>177</v>
      </c>
      <c r="H30" s="64"/>
    </row>
    <row r="31" spans="1:9" ht="18.75" x14ac:dyDescent="0.3">
      <c r="A31" s="3" t="s">
        <v>227</v>
      </c>
      <c r="B31" s="5">
        <v>96770124141</v>
      </c>
      <c r="C31" s="3" t="s">
        <v>228</v>
      </c>
      <c r="D31" s="5">
        <v>1500</v>
      </c>
      <c r="E31" s="3" t="s">
        <v>228</v>
      </c>
      <c r="F31" s="31">
        <v>11500</v>
      </c>
      <c r="G31" s="3" t="s">
        <v>47</v>
      </c>
      <c r="H31" s="67" t="s">
        <v>278</v>
      </c>
      <c r="I31" s="25"/>
    </row>
    <row r="32" spans="1:9" ht="18.75" x14ac:dyDescent="0.3">
      <c r="A32" s="3" t="s">
        <v>241</v>
      </c>
      <c r="B32" s="5">
        <v>8939538396</v>
      </c>
      <c r="C32" s="3" t="s">
        <v>242</v>
      </c>
      <c r="D32" s="5">
        <v>4500</v>
      </c>
      <c r="E32" s="3" t="s">
        <v>242</v>
      </c>
      <c r="F32" s="31">
        <v>9500</v>
      </c>
      <c r="G32" s="3" t="s">
        <v>51</v>
      </c>
      <c r="H32" s="66" t="s">
        <v>251</v>
      </c>
      <c r="I32" t="s">
        <v>245</v>
      </c>
    </row>
    <row r="33" spans="1:8" ht="18.75" x14ac:dyDescent="0.3">
      <c r="A33" s="3" t="s">
        <v>266</v>
      </c>
      <c r="B33" s="5">
        <v>6385458304</v>
      </c>
      <c r="C33" s="3" t="s">
        <v>259</v>
      </c>
      <c r="D33" s="5">
        <v>2500</v>
      </c>
      <c r="E33" s="3" t="s">
        <v>259</v>
      </c>
      <c r="F33" s="31">
        <v>2500</v>
      </c>
      <c r="G33" s="3" t="s">
        <v>51</v>
      </c>
      <c r="H33" s="66"/>
    </row>
    <row r="34" spans="1:8" ht="18.75" x14ac:dyDescent="0.3">
      <c r="A34" s="3" t="s">
        <v>267</v>
      </c>
      <c r="B34" s="5">
        <v>9952968436</v>
      </c>
      <c r="C34" s="3" t="s">
        <v>263</v>
      </c>
      <c r="D34" s="5">
        <v>2000</v>
      </c>
      <c r="E34" s="3" t="s">
        <v>263</v>
      </c>
      <c r="F34" s="31">
        <v>2000</v>
      </c>
      <c r="G34" s="3" t="s">
        <v>51</v>
      </c>
      <c r="H34" s="66"/>
    </row>
    <row r="35" spans="1:8" ht="18.75" x14ac:dyDescent="0.3">
      <c r="A35" s="3" t="s">
        <v>268</v>
      </c>
      <c r="B35" s="5">
        <v>9345845341</v>
      </c>
      <c r="C35" s="3" t="s">
        <v>264</v>
      </c>
      <c r="D35" s="5">
        <v>2000</v>
      </c>
      <c r="E35" s="3" t="s">
        <v>265</v>
      </c>
      <c r="F35" s="31">
        <v>2000</v>
      </c>
      <c r="G35" s="3" t="s">
        <v>2</v>
      </c>
      <c r="H35" s="66" t="s">
        <v>178</v>
      </c>
    </row>
    <row r="36" spans="1:8" ht="18.75" x14ac:dyDescent="0.3">
      <c r="A36" s="3" t="s">
        <v>269</v>
      </c>
      <c r="B36" s="5">
        <v>9080506121</v>
      </c>
      <c r="C36" s="3" t="s">
        <v>270</v>
      </c>
      <c r="D36" s="5">
        <v>2300</v>
      </c>
      <c r="E36" s="3" t="s">
        <v>270</v>
      </c>
      <c r="F36" s="31">
        <v>2300</v>
      </c>
      <c r="G36" s="3" t="s">
        <v>54</v>
      </c>
      <c r="H36" s="66" t="s">
        <v>178</v>
      </c>
    </row>
    <row r="37" spans="1:8" ht="18.75" x14ac:dyDescent="0.3">
      <c r="A37" s="3" t="s">
        <v>271</v>
      </c>
      <c r="B37" s="5"/>
      <c r="C37" s="3" t="s">
        <v>262</v>
      </c>
      <c r="D37" s="5">
        <v>600</v>
      </c>
      <c r="E37" s="3" t="s">
        <v>262</v>
      </c>
      <c r="F37" s="31">
        <v>600</v>
      </c>
      <c r="G37" s="3" t="s">
        <v>51</v>
      </c>
      <c r="H37" s="71" t="s">
        <v>272</v>
      </c>
    </row>
    <row r="38" spans="1:8" ht="18.75" x14ac:dyDescent="0.3">
      <c r="A38" s="3" t="s">
        <v>274</v>
      </c>
      <c r="B38" s="5"/>
      <c r="C38" s="3" t="s">
        <v>263</v>
      </c>
      <c r="D38" s="5">
        <v>900</v>
      </c>
      <c r="E38" s="3" t="s">
        <v>263</v>
      </c>
      <c r="F38" s="31">
        <v>900</v>
      </c>
      <c r="G38" s="3" t="s">
        <v>2</v>
      </c>
      <c r="H38" s="66" t="s">
        <v>178</v>
      </c>
    </row>
    <row r="39" spans="1:8" ht="18.75" x14ac:dyDescent="0.3">
      <c r="A39" s="3" t="s">
        <v>275</v>
      </c>
      <c r="B39" s="5"/>
      <c r="C39" s="3"/>
      <c r="D39" s="5"/>
      <c r="E39" s="3"/>
      <c r="F39" s="31">
        <v>700</v>
      </c>
      <c r="G39" s="3" t="s">
        <v>47</v>
      </c>
      <c r="H39" s="66"/>
    </row>
    <row r="40" spans="1:8" ht="18.75" x14ac:dyDescent="0.3">
      <c r="A40" s="3"/>
      <c r="B40" s="5"/>
      <c r="C40" s="3"/>
      <c r="D40" s="5"/>
      <c r="E40" s="3"/>
      <c r="F40" s="31"/>
      <c r="G40" s="3"/>
      <c r="H40" s="66"/>
    </row>
    <row r="41" spans="1:8" ht="18.75" x14ac:dyDescent="0.3">
      <c r="A41" s="3"/>
      <c r="B41" s="5"/>
      <c r="C41" s="3"/>
      <c r="D41" s="5"/>
      <c r="E41" s="3"/>
      <c r="F41" s="31"/>
      <c r="G41" s="3"/>
      <c r="H41" s="66"/>
    </row>
    <row r="42" spans="1:8" ht="18.75" x14ac:dyDescent="0.3">
      <c r="A42" s="3"/>
      <c r="B42" s="5"/>
      <c r="C42" s="3"/>
      <c r="D42" s="5"/>
      <c r="E42" s="3"/>
      <c r="F42" s="31"/>
      <c r="G42" s="3"/>
      <c r="H42" s="66"/>
    </row>
    <row r="43" spans="1:8" ht="18.75" x14ac:dyDescent="0.3">
      <c r="A43" s="3"/>
      <c r="B43" s="5"/>
      <c r="C43" s="3"/>
      <c r="D43" s="5"/>
      <c r="E43" s="3"/>
      <c r="F43" s="31"/>
      <c r="G43" s="3"/>
      <c r="H43" s="64"/>
    </row>
    <row r="44" spans="1:8" ht="18.75" x14ac:dyDescent="0.3">
      <c r="A44" s="3"/>
      <c r="B44" s="5"/>
      <c r="C44" s="3"/>
      <c r="D44" s="5"/>
      <c r="E44" s="3"/>
      <c r="F44" s="31"/>
      <c r="G44" s="3"/>
      <c r="H44" s="64"/>
    </row>
    <row r="45" spans="1:8" ht="18.75" x14ac:dyDescent="0.3">
      <c r="A45" s="3"/>
      <c r="B45" s="5"/>
      <c r="C45" s="3"/>
      <c r="D45" s="5"/>
      <c r="E45" s="3"/>
      <c r="F45" s="31"/>
      <c r="G45" s="3"/>
      <c r="H45" s="64"/>
    </row>
    <row r="46" spans="1:8" ht="18.5" x14ac:dyDescent="0.45">
      <c r="F46" s="75">
        <v>111250</v>
      </c>
      <c r="H46" s="64"/>
    </row>
    <row r="47" spans="1:8" x14ac:dyDescent="0.35">
      <c r="H47" s="64"/>
    </row>
    <row r="48" spans="1:8" x14ac:dyDescent="0.35">
      <c r="H48" s="64"/>
    </row>
    <row r="49" spans="1:12" x14ac:dyDescent="0.35">
      <c r="C49" s="20" t="s">
        <v>66</v>
      </c>
      <c r="D49" s="20"/>
      <c r="H49" s="64"/>
    </row>
    <row r="50" spans="1:12" x14ac:dyDescent="0.35">
      <c r="D50" s="19"/>
      <c r="E50" s="19"/>
      <c r="F50" s="19"/>
      <c r="G50" s="19"/>
      <c r="H50" s="64"/>
    </row>
    <row r="51" spans="1:12" x14ac:dyDescent="0.35">
      <c r="A51" s="4"/>
      <c r="B51" s="4"/>
      <c r="C51" s="40" t="s">
        <v>88</v>
      </c>
      <c r="D51" s="40" t="s">
        <v>82</v>
      </c>
      <c r="E51" s="40" t="s">
        <v>89</v>
      </c>
      <c r="F51" s="40" t="s">
        <v>69</v>
      </c>
      <c r="G51" s="40" t="s">
        <v>69</v>
      </c>
      <c r="H51" s="68" t="s">
        <v>84</v>
      </c>
      <c r="I51" s="40" t="s">
        <v>189</v>
      </c>
      <c r="J51" s="52"/>
      <c r="K51" s="4"/>
      <c r="L51" s="4"/>
    </row>
    <row r="52" spans="1:12" x14ac:dyDescent="0.35">
      <c r="A52" s="4"/>
      <c r="B52" s="4"/>
      <c r="C52" s="40"/>
      <c r="D52" s="40"/>
      <c r="E52" s="40"/>
      <c r="F52" s="40"/>
      <c r="G52" s="40"/>
      <c r="H52" s="68"/>
      <c r="I52" s="40"/>
      <c r="J52" s="52"/>
      <c r="K52" s="4"/>
      <c r="L52" s="4"/>
    </row>
    <row r="53" spans="1:12" x14ac:dyDescent="0.35">
      <c r="A53" s="4"/>
      <c r="B53" s="4"/>
      <c r="C53" s="40"/>
      <c r="D53" s="40"/>
      <c r="E53" s="40"/>
      <c r="F53" s="40"/>
      <c r="G53" s="40"/>
      <c r="H53" s="68"/>
      <c r="I53" s="40"/>
      <c r="J53" s="52"/>
      <c r="K53" s="4"/>
      <c r="L53" s="4"/>
    </row>
    <row r="54" spans="1:12" ht="18.5" x14ac:dyDescent="0.45">
      <c r="A54" s="3" t="s">
        <v>187</v>
      </c>
      <c r="B54" s="3"/>
      <c r="C54" s="3" t="s">
        <v>186</v>
      </c>
      <c r="D54" s="41">
        <v>31</v>
      </c>
      <c r="E54" s="41">
        <v>25600</v>
      </c>
      <c r="F54" s="41">
        <v>2304</v>
      </c>
      <c r="G54" s="41">
        <v>2304</v>
      </c>
      <c r="H54" s="41">
        <v>30208</v>
      </c>
      <c r="I54" s="60" t="s">
        <v>190</v>
      </c>
      <c r="J54" s="54" t="s">
        <v>242</v>
      </c>
      <c r="K54" s="4"/>
      <c r="L54" s="4"/>
    </row>
    <row r="55" spans="1:12" ht="18.5" x14ac:dyDescent="0.45">
      <c r="A55" s="3" t="s">
        <v>147</v>
      </c>
      <c r="B55" s="5">
        <v>9840439660</v>
      </c>
      <c r="C55" s="3" t="s">
        <v>186</v>
      </c>
      <c r="D55" s="41">
        <v>32</v>
      </c>
      <c r="E55" s="41">
        <v>7188</v>
      </c>
      <c r="F55" s="41">
        <v>646.91999999999996</v>
      </c>
      <c r="G55" s="41">
        <v>646.91999999999996</v>
      </c>
      <c r="H55" s="41">
        <v>8481.84</v>
      </c>
      <c r="I55" s="60" t="s">
        <v>191</v>
      </c>
      <c r="J55" s="54" t="s">
        <v>279</v>
      </c>
      <c r="K55" s="4"/>
      <c r="L55" s="4"/>
    </row>
    <row r="56" spans="1:12" ht="18.5" x14ac:dyDescent="0.45">
      <c r="A56" s="3" t="s">
        <v>217</v>
      </c>
      <c r="B56" s="5">
        <v>9787826903</v>
      </c>
      <c r="C56" s="3" t="s">
        <v>186</v>
      </c>
      <c r="D56" s="41">
        <v>33</v>
      </c>
      <c r="E56" s="41">
        <v>1461</v>
      </c>
      <c r="F56" s="41">
        <v>131</v>
      </c>
      <c r="G56" s="41">
        <v>131</v>
      </c>
      <c r="H56" s="41">
        <v>1724</v>
      </c>
      <c r="I56" s="60" t="s">
        <v>192</v>
      </c>
      <c r="J56" s="54" t="s">
        <v>219</v>
      </c>
      <c r="K56" s="4"/>
      <c r="L56" s="4"/>
    </row>
    <row r="57" spans="1:12" ht="18.5" x14ac:dyDescent="0.45">
      <c r="A57" s="3" t="s">
        <v>148</v>
      </c>
      <c r="B57" s="5">
        <v>9710453983</v>
      </c>
      <c r="C57" s="3" t="s">
        <v>186</v>
      </c>
      <c r="D57" s="41">
        <v>34</v>
      </c>
      <c r="E57" s="41">
        <v>6000</v>
      </c>
      <c r="F57" s="41">
        <v>540</v>
      </c>
      <c r="G57" s="41">
        <v>540</v>
      </c>
      <c r="H57" s="41">
        <v>7080</v>
      </c>
      <c r="I57" s="60" t="s">
        <v>193</v>
      </c>
      <c r="J57" s="54" t="s">
        <v>204</v>
      </c>
      <c r="K57" s="4" t="s">
        <v>6</v>
      </c>
      <c r="L57" s="4"/>
    </row>
    <row r="58" spans="1:12" ht="18.5" x14ac:dyDescent="0.45">
      <c r="A58" s="3" t="s">
        <v>196</v>
      </c>
      <c r="B58" s="5">
        <v>9003151133</v>
      </c>
      <c r="C58" s="3" t="s">
        <v>195</v>
      </c>
      <c r="D58" s="41">
        <v>35</v>
      </c>
      <c r="E58" s="41">
        <v>12600</v>
      </c>
      <c r="F58" s="41">
        <v>1134</v>
      </c>
      <c r="G58" s="41">
        <v>1134</v>
      </c>
      <c r="H58" s="41">
        <v>14868</v>
      </c>
      <c r="I58" s="60" t="s">
        <v>210</v>
      </c>
      <c r="J58" s="54"/>
      <c r="K58" s="4"/>
      <c r="L58" s="4"/>
    </row>
    <row r="59" spans="1:12" ht="18.5" x14ac:dyDescent="0.45">
      <c r="A59" s="3" t="s">
        <v>201</v>
      </c>
      <c r="B59" s="5">
        <v>8939848531</v>
      </c>
      <c r="C59" s="3" t="s">
        <v>195</v>
      </c>
      <c r="D59" s="41">
        <v>36</v>
      </c>
      <c r="E59" s="41">
        <v>14500</v>
      </c>
      <c r="F59" s="41">
        <v>1305</v>
      </c>
      <c r="G59" s="41">
        <v>1305</v>
      </c>
      <c r="H59" s="41">
        <v>17110</v>
      </c>
      <c r="I59" s="60" t="s">
        <v>211</v>
      </c>
      <c r="J59" s="54" t="s">
        <v>219</v>
      </c>
      <c r="K59" s="4"/>
      <c r="L59" s="4"/>
    </row>
    <row r="60" spans="1:12" ht="18.5" x14ac:dyDescent="0.45">
      <c r="A60" s="3" t="s">
        <v>202</v>
      </c>
      <c r="B60" s="5">
        <v>9841309841</v>
      </c>
      <c r="C60" s="3" t="s">
        <v>205</v>
      </c>
      <c r="D60" s="41">
        <v>37</v>
      </c>
      <c r="E60" s="41">
        <v>3750</v>
      </c>
      <c r="F60" s="41">
        <v>337.5</v>
      </c>
      <c r="G60" s="41">
        <v>337.5</v>
      </c>
      <c r="H60" s="41">
        <v>4425</v>
      </c>
      <c r="I60" s="60" t="s">
        <v>231</v>
      </c>
      <c r="J60" s="54" t="s">
        <v>466</v>
      </c>
      <c r="K60" s="115">
        <v>10000</v>
      </c>
      <c r="L60" s="4"/>
    </row>
    <row r="61" spans="1:12" ht="18.5" x14ac:dyDescent="0.45">
      <c r="A61" s="3" t="s">
        <v>237</v>
      </c>
      <c r="B61" s="5">
        <v>8939817356</v>
      </c>
      <c r="C61" s="3" t="s">
        <v>204</v>
      </c>
      <c r="D61" s="41">
        <v>38</v>
      </c>
      <c r="E61" s="41">
        <v>15750</v>
      </c>
      <c r="F61" s="41">
        <v>1417.5</v>
      </c>
      <c r="G61" s="41">
        <v>1417.5</v>
      </c>
      <c r="H61" s="41">
        <v>18585</v>
      </c>
      <c r="I61" s="60" t="s">
        <v>212</v>
      </c>
      <c r="J61" s="54" t="s">
        <v>328</v>
      </c>
      <c r="K61" s="4"/>
      <c r="L61" s="4"/>
    </row>
    <row r="62" spans="1:12" ht="18.5" x14ac:dyDescent="0.45">
      <c r="A62" s="3" t="s">
        <v>70</v>
      </c>
      <c r="B62" s="5">
        <v>9840053400</v>
      </c>
      <c r="C62" s="3" t="s">
        <v>204</v>
      </c>
      <c r="D62" s="41">
        <v>39</v>
      </c>
      <c r="E62" s="41">
        <v>5600</v>
      </c>
      <c r="F62" s="41">
        <v>504</v>
      </c>
      <c r="G62" s="41">
        <v>504</v>
      </c>
      <c r="H62" s="41">
        <v>6608</v>
      </c>
      <c r="I62" s="60" t="s">
        <v>213</v>
      </c>
      <c r="J62" s="54" t="s">
        <v>329</v>
      </c>
      <c r="K62" s="4"/>
      <c r="L62" s="4"/>
    </row>
    <row r="63" spans="1:12" ht="18.5" x14ac:dyDescent="0.45">
      <c r="A63" s="3" t="s">
        <v>216</v>
      </c>
      <c r="B63" s="5">
        <v>9578312546</v>
      </c>
      <c r="C63" s="3" t="s">
        <v>204</v>
      </c>
      <c r="D63" s="41">
        <v>40</v>
      </c>
      <c r="E63" s="41">
        <v>1560</v>
      </c>
      <c r="F63" s="41">
        <v>140.4</v>
      </c>
      <c r="G63" s="41">
        <v>140.4</v>
      </c>
      <c r="H63" s="41">
        <v>1841</v>
      </c>
      <c r="I63" s="60" t="s">
        <v>214</v>
      </c>
      <c r="J63" s="54" t="s">
        <v>295</v>
      </c>
      <c r="K63" s="4"/>
      <c r="L63" s="4"/>
    </row>
    <row r="64" spans="1:12" ht="18.5" x14ac:dyDescent="0.45">
      <c r="A64" s="3" t="s">
        <v>238</v>
      </c>
      <c r="B64" s="5">
        <v>9150272188</v>
      </c>
      <c r="C64" s="3" t="s">
        <v>208</v>
      </c>
      <c r="D64" s="41">
        <v>41</v>
      </c>
      <c r="E64" s="41">
        <v>11600</v>
      </c>
      <c r="F64" s="41">
        <v>1044</v>
      </c>
      <c r="G64" s="41">
        <v>1044</v>
      </c>
      <c r="H64" s="41">
        <v>13688</v>
      </c>
      <c r="I64" s="60" t="s">
        <v>215</v>
      </c>
      <c r="J64" s="54" t="s">
        <v>208</v>
      </c>
      <c r="K64" s="4"/>
      <c r="L64" s="4"/>
    </row>
    <row r="65" spans="1:12" ht="18.5" x14ac:dyDescent="0.45">
      <c r="A65" s="3" t="s">
        <v>254</v>
      </c>
      <c r="B65" s="5">
        <v>9344659805</v>
      </c>
      <c r="C65" s="3" t="s">
        <v>232</v>
      </c>
      <c r="D65" s="41">
        <v>42</v>
      </c>
      <c r="E65" s="41">
        <v>14050</v>
      </c>
      <c r="F65" s="41">
        <v>1264.5</v>
      </c>
      <c r="G65" s="41">
        <v>1264.5</v>
      </c>
      <c r="H65" s="41">
        <v>16579</v>
      </c>
      <c r="I65" s="60" t="s">
        <v>233</v>
      </c>
      <c r="J65" s="54" t="s">
        <v>296</v>
      </c>
      <c r="K65" s="4"/>
      <c r="L65" s="4"/>
    </row>
    <row r="66" spans="1:12" ht="18.5" x14ac:dyDescent="0.45">
      <c r="A66" s="3" t="s">
        <v>221</v>
      </c>
      <c r="B66" s="5">
        <v>6383469428</v>
      </c>
      <c r="C66" s="3" t="s">
        <v>232</v>
      </c>
      <c r="D66" s="41">
        <v>43</v>
      </c>
      <c r="E66" s="41">
        <v>2900</v>
      </c>
      <c r="F66" s="41">
        <v>261</v>
      </c>
      <c r="G66" s="41">
        <v>261</v>
      </c>
      <c r="H66" s="41">
        <v>3422</v>
      </c>
      <c r="I66" s="60" t="s">
        <v>234</v>
      </c>
      <c r="J66" s="54" t="s">
        <v>294</v>
      </c>
      <c r="K66" s="4"/>
      <c r="L66" s="4"/>
    </row>
    <row r="67" spans="1:12" ht="18.5" x14ac:dyDescent="0.45">
      <c r="A67" s="3" t="s">
        <v>222</v>
      </c>
      <c r="B67" s="5">
        <v>9943084508</v>
      </c>
      <c r="C67" s="3" t="s">
        <v>226</v>
      </c>
      <c r="D67" s="41">
        <v>44</v>
      </c>
      <c r="E67" s="41">
        <v>5000</v>
      </c>
      <c r="F67" s="41">
        <v>450</v>
      </c>
      <c r="G67" s="41">
        <v>450</v>
      </c>
      <c r="H67" s="41">
        <v>5900</v>
      </c>
      <c r="I67" s="60" t="s">
        <v>235</v>
      </c>
      <c r="J67" s="54" t="s">
        <v>232</v>
      </c>
      <c r="K67" s="4" t="s">
        <v>224</v>
      </c>
      <c r="L67" s="4"/>
    </row>
    <row r="68" spans="1:12" ht="18.5" x14ac:dyDescent="0.45">
      <c r="A68" s="3" t="s">
        <v>310</v>
      </c>
      <c r="B68" s="5">
        <v>9841309841</v>
      </c>
      <c r="C68" s="3" t="s">
        <v>226</v>
      </c>
      <c r="D68" s="41">
        <v>45</v>
      </c>
      <c r="E68" s="41">
        <v>2300</v>
      </c>
      <c r="F68" s="41">
        <v>207</v>
      </c>
      <c r="G68" s="41">
        <v>207</v>
      </c>
      <c r="H68" s="41">
        <v>2714</v>
      </c>
      <c r="I68" s="60" t="s">
        <v>231</v>
      </c>
      <c r="J68" s="59" t="s">
        <v>466</v>
      </c>
      <c r="K68" s="4"/>
      <c r="L68" s="4"/>
    </row>
    <row r="69" spans="1:12" ht="18.5" x14ac:dyDescent="0.45">
      <c r="A69" s="3" t="s">
        <v>255</v>
      </c>
      <c r="B69" s="5">
        <v>9884123865</v>
      </c>
      <c r="C69" s="5" t="s">
        <v>281</v>
      </c>
      <c r="D69" s="41">
        <v>46</v>
      </c>
      <c r="E69" s="41">
        <v>1400</v>
      </c>
      <c r="F69" s="41">
        <v>126</v>
      </c>
      <c r="G69" s="41">
        <v>126</v>
      </c>
      <c r="H69" s="41">
        <v>1652</v>
      </c>
      <c r="I69" s="60" t="s">
        <v>282</v>
      </c>
      <c r="J69" s="54" t="s">
        <v>243</v>
      </c>
      <c r="K69" s="4"/>
      <c r="L69" s="4"/>
    </row>
    <row r="70" spans="1:12" ht="18.5" x14ac:dyDescent="0.45">
      <c r="A70" s="3" t="s">
        <v>276</v>
      </c>
      <c r="B70" s="3"/>
      <c r="C70" s="3" t="s">
        <v>270</v>
      </c>
      <c r="D70" s="41">
        <v>47</v>
      </c>
      <c r="E70" s="41">
        <v>2500</v>
      </c>
      <c r="F70" s="41">
        <v>225</v>
      </c>
      <c r="G70" s="41">
        <v>225</v>
      </c>
      <c r="H70" s="87">
        <v>2950</v>
      </c>
      <c r="I70" s="60" t="s">
        <v>283</v>
      </c>
      <c r="J70" s="59" t="s">
        <v>448</v>
      </c>
      <c r="K70" s="4"/>
      <c r="L70" s="4"/>
    </row>
    <row r="71" spans="1:12" ht="18.5" x14ac:dyDescent="0.45">
      <c r="A71" s="3" t="s">
        <v>276</v>
      </c>
      <c r="B71" s="3"/>
      <c r="C71" s="3" t="s">
        <v>270</v>
      </c>
      <c r="D71" s="41">
        <v>48</v>
      </c>
      <c r="E71" s="41">
        <v>4000</v>
      </c>
      <c r="F71" s="41">
        <v>360</v>
      </c>
      <c r="G71" s="41">
        <v>360</v>
      </c>
      <c r="H71" s="87">
        <v>4720</v>
      </c>
      <c r="I71" s="60" t="s">
        <v>283</v>
      </c>
      <c r="J71" s="59" t="s">
        <v>448</v>
      </c>
      <c r="K71" s="4"/>
      <c r="L71" s="4"/>
    </row>
    <row r="72" spans="1:12" ht="18.5" x14ac:dyDescent="0.45">
      <c r="A72" s="3" t="s">
        <v>180</v>
      </c>
      <c r="B72" s="5"/>
      <c r="C72" s="5" t="s">
        <v>270</v>
      </c>
      <c r="D72" s="41">
        <v>49</v>
      </c>
      <c r="E72" s="41">
        <v>2000</v>
      </c>
      <c r="F72" s="41">
        <v>180</v>
      </c>
      <c r="G72" s="41">
        <v>180</v>
      </c>
      <c r="H72" s="41">
        <v>2360</v>
      </c>
      <c r="I72" s="60" t="s">
        <v>284</v>
      </c>
      <c r="J72" s="59" t="s">
        <v>322</v>
      </c>
      <c r="K72" s="4"/>
      <c r="L72" s="4"/>
    </row>
    <row r="73" spans="1:12" ht="18.5" x14ac:dyDescent="0.45">
      <c r="A73" s="3"/>
      <c r="B73" s="3"/>
      <c r="C73" s="3"/>
      <c r="D73" s="41"/>
      <c r="E73" s="41"/>
      <c r="F73" s="41"/>
      <c r="G73" s="41"/>
      <c r="H73" s="41"/>
      <c r="I73" s="61"/>
      <c r="J73" s="59"/>
      <c r="K73" s="4"/>
      <c r="L73" s="4"/>
    </row>
    <row r="74" spans="1:12" ht="18.5" x14ac:dyDescent="0.45">
      <c r="A74" s="3"/>
      <c r="B74" s="3"/>
      <c r="C74" s="3"/>
      <c r="D74" s="41"/>
      <c r="E74" s="41"/>
      <c r="F74" s="41"/>
      <c r="G74" s="41"/>
      <c r="H74" s="41"/>
      <c r="I74" s="62"/>
      <c r="J74" s="53"/>
      <c r="K74" s="3"/>
      <c r="L74" s="4"/>
    </row>
    <row r="75" spans="1:12" ht="18.5" x14ac:dyDescent="0.45">
      <c r="A75" s="3"/>
      <c r="B75" s="3"/>
      <c r="C75" s="3"/>
      <c r="D75" s="41"/>
      <c r="E75" s="41"/>
      <c r="F75" s="41"/>
      <c r="G75" s="41"/>
      <c r="H75" s="41"/>
      <c r="I75" s="62"/>
      <c r="J75" s="53"/>
      <c r="K75" s="3"/>
      <c r="L75" s="4"/>
    </row>
    <row r="76" spans="1:12" ht="18.5" x14ac:dyDescent="0.45">
      <c r="A76" s="3"/>
      <c r="B76" s="5"/>
      <c r="C76" s="5"/>
      <c r="D76" s="41"/>
      <c r="E76" s="41"/>
      <c r="F76" s="41"/>
      <c r="G76" s="41"/>
      <c r="H76" s="41"/>
      <c r="I76" s="62"/>
      <c r="J76" s="54"/>
      <c r="K76" s="3"/>
      <c r="L76" s="3"/>
    </row>
    <row r="77" spans="1:12" ht="18.5" x14ac:dyDescent="0.45">
      <c r="A77" s="3"/>
      <c r="B77" s="5"/>
      <c r="C77" s="5"/>
      <c r="D77" s="41"/>
      <c r="E77" s="41"/>
      <c r="F77" s="41"/>
      <c r="G77" s="41"/>
      <c r="H77" s="41"/>
      <c r="I77" s="63"/>
      <c r="J77" s="53"/>
      <c r="K77" s="3"/>
      <c r="L77" s="3"/>
    </row>
    <row r="78" spans="1:12" ht="18.5" x14ac:dyDescent="0.45">
      <c r="A78" s="43"/>
      <c r="B78" s="5"/>
      <c r="C78" s="5"/>
      <c r="D78" s="41"/>
      <c r="E78" s="41"/>
      <c r="F78" s="41"/>
      <c r="G78" s="41"/>
      <c r="H78" s="41"/>
      <c r="I78" s="63"/>
      <c r="J78" s="53"/>
      <c r="K78" s="3"/>
      <c r="L78" s="3"/>
    </row>
    <row r="79" spans="1:12" ht="18.5" x14ac:dyDescent="0.45">
      <c r="A79" s="3"/>
      <c r="B79" s="5"/>
      <c r="C79" s="5"/>
      <c r="D79" s="5"/>
      <c r="E79" s="5"/>
      <c r="F79" s="5"/>
      <c r="G79" s="5"/>
      <c r="H79" s="3"/>
      <c r="I79" s="63"/>
      <c r="J79" s="53"/>
      <c r="K79" s="3"/>
      <c r="L79" s="3"/>
    </row>
    <row r="80" spans="1:12" ht="18.5" x14ac:dyDescent="0.45">
      <c r="A80" s="4"/>
      <c r="B80" s="4"/>
      <c r="C80" s="4"/>
      <c r="D80" s="4"/>
      <c r="E80" s="4"/>
      <c r="F80" s="4"/>
      <c r="G80" s="4"/>
      <c r="H80" s="3"/>
      <c r="I80" s="63"/>
      <c r="J80" s="53"/>
      <c r="K80" s="4"/>
      <c r="L80" s="4"/>
    </row>
    <row r="81" spans="1:12" ht="18.5" x14ac:dyDescent="0.45">
      <c r="A81" s="4"/>
      <c r="B81" s="4"/>
      <c r="C81" s="4"/>
      <c r="D81" s="4"/>
      <c r="E81" s="4"/>
      <c r="F81" s="4"/>
      <c r="G81" s="4"/>
      <c r="H81" s="3"/>
      <c r="I81" s="63"/>
      <c r="J81" s="53"/>
      <c r="K81" s="4"/>
      <c r="L81" s="4"/>
    </row>
    <row r="82" spans="1:12" ht="18.5" x14ac:dyDescent="0.45">
      <c r="A82" s="4"/>
      <c r="B82" s="4"/>
      <c r="C82" s="4"/>
      <c r="D82" s="4"/>
      <c r="E82" s="4"/>
      <c r="F82" s="4"/>
      <c r="G82" s="4"/>
      <c r="H82" s="3"/>
      <c r="I82" s="63"/>
      <c r="J82" s="53"/>
      <c r="K82" s="4"/>
      <c r="L82" s="4"/>
    </row>
    <row r="83" spans="1:12" ht="18.5" x14ac:dyDescent="0.45">
      <c r="A83" s="4"/>
      <c r="B83" s="4"/>
      <c r="C83" s="4"/>
      <c r="D83" s="4"/>
      <c r="E83" s="4"/>
      <c r="F83" s="4"/>
      <c r="G83" s="4"/>
      <c r="H83" s="3"/>
      <c r="I83" s="63"/>
      <c r="J83" s="53"/>
      <c r="K83" s="4"/>
      <c r="L83" s="4"/>
    </row>
    <row r="84" spans="1:12" ht="18.5" x14ac:dyDescent="0.45">
      <c r="A84" s="4"/>
      <c r="B84" s="4"/>
      <c r="C84" s="4"/>
      <c r="D84" s="4"/>
      <c r="E84" s="4"/>
      <c r="F84" s="4"/>
      <c r="G84" s="4"/>
      <c r="H84" s="3"/>
      <c r="I84" s="63"/>
      <c r="J84" s="53"/>
      <c r="K84" s="4"/>
      <c r="L84" s="4"/>
    </row>
    <row r="85" spans="1:12" ht="18.5" x14ac:dyDescent="0.45">
      <c r="A85" s="4"/>
      <c r="B85" s="4"/>
      <c r="C85" s="4"/>
      <c r="D85" s="4"/>
      <c r="E85" s="4"/>
      <c r="F85" s="4"/>
      <c r="G85" s="4"/>
      <c r="H85" s="3"/>
      <c r="I85" s="63"/>
      <c r="J85" s="55"/>
      <c r="K85" s="4"/>
      <c r="L85" s="4"/>
    </row>
    <row r="86" spans="1:12" ht="18.5" x14ac:dyDescent="0.45">
      <c r="A86" s="4"/>
      <c r="B86" s="4"/>
      <c r="C86" s="4"/>
      <c r="D86" s="4"/>
      <c r="E86" s="4"/>
      <c r="F86" s="4"/>
      <c r="G86" s="4"/>
      <c r="H86" s="3"/>
      <c r="I86" s="63"/>
      <c r="J86" s="55"/>
      <c r="K86" s="4"/>
      <c r="L86" s="4"/>
    </row>
    <row r="87" spans="1:12" ht="18.5" x14ac:dyDescent="0.45">
      <c r="A87" s="4"/>
      <c r="B87" s="4"/>
      <c r="C87" s="4"/>
      <c r="D87" s="4"/>
      <c r="E87" s="4"/>
      <c r="F87" s="4"/>
      <c r="G87" s="4"/>
      <c r="H87" s="3"/>
      <c r="I87" s="63"/>
      <c r="J87" s="55"/>
      <c r="K87" s="4"/>
      <c r="L87" s="4"/>
    </row>
    <row r="88" spans="1:12" ht="18.5" x14ac:dyDescent="0.45">
      <c r="A88" s="4"/>
      <c r="B88" s="4"/>
      <c r="C88" s="4"/>
      <c r="D88" s="4"/>
      <c r="E88" s="4"/>
      <c r="F88" s="4"/>
      <c r="G88" s="4"/>
      <c r="H88" s="3"/>
      <c r="I88" s="63"/>
      <c r="J88" s="55"/>
      <c r="K88" s="4"/>
      <c r="L88" s="4"/>
    </row>
    <row r="89" spans="1:12" ht="18.5" x14ac:dyDescent="0.45">
      <c r="A89" s="4"/>
      <c r="B89" s="4"/>
      <c r="C89" s="4"/>
      <c r="D89" s="4"/>
      <c r="E89" s="4"/>
      <c r="F89" s="4"/>
      <c r="G89" s="4"/>
      <c r="H89" s="3"/>
      <c r="I89" s="63"/>
      <c r="J89" s="55"/>
      <c r="K89" s="4"/>
      <c r="L89" s="4"/>
    </row>
    <row r="90" spans="1:12" ht="18.5" x14ac:dyDescent="0.45">
      <c r="A90" s="4"/>
      <c r="B90" s="4"/>
      <c r="C90" s="4"/>
      <c r="D90" s="4"/>
      <c r="E90" s="4"/>
      <c r="F90" s="4"/>
      <c r="G90" s="4"/>
      <c r="H90" s="3"/>
      <c r="I90" s="63"/>
      <c r="J90" s="55"/>
      <c r="K90" s="4"/>
      <c r="L90" s="4"/>
    </row>
    <row r="91" spans="1:12" ht="18.5" x14ac:dyDescent="0.45">
      <c r="A91" s="4"/>
      <c r="B91" s="4"/>
      <c r="C91" s="4"/>
      <c r="D91" s="4"/>
      <c r="E91" s="4"/>
      <c r="F91" s="4"/>
      <c r="G91" s="4"/>
      <c r="H91" s="3"/>
      <c r="I91" s="63"/>
      <c r="J91" s="55"/>
      <c r="K91" s="4"/>
      <c r="L91" s="4"/>
    </row>
    <row r="92" spans="1:12" ht="18.5" x14ac:dyDescent="0.45">
      <c r="A92" s="4"/>
      <c r="B92" s="4"/>
      <c r="C92" s="4"/>
      <c r="D92" s="4"/>
      <c r="E92" s="4"/>
      <c r="F92" s="4"/>
      <c r="G92" s="4"/>
      <c r="H92" s="3"/>
      <c r="I92" s="63"/>
      <c r="J92" s="55"/>
      <c r="K92" s="4"/>
      <c r="L92" s="4"/>
    </row>
    <row r="93" spans="1:12" x14ac:dyDescent="0.35">
      <c r="A93" s="4"/>
      <c r="B93" s="4"/>
      <c r="C93" s="4"/>
      <c r="D93" s="4"/>
      <c r="E93" s="4"/>
      <c r="F93" s="4"/>
      <c r="G93" s="4"/>
      <c r="H93" s="69"/>
      <c r="I93" s="4"/>
      <c r="J93" s="55"/>
      <c r="K93" s="4"/>
      <c r="L93" s="4"/>
    </row>
    <row r="94" spans="1:12" x14ac:dyDescent="0.35">
      <c r="H94" s="64"/>
      <c r="J94" s="56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8"/>
  <sheetViews>
    <sheetView topLeftCell="A27" workbookViewId="0">
      <selection activeCell="E21" sqref="E21"/>
    </sheetView>
  </sheetViews>
  <sheetFormatPr defaultRowHeight="14.5" x14ac:dyDescent="0.35"/>
  <cols>
    <col min="1" max="1" width="49.26953125" bestFit="1" customWidth="1"/>
    <col min="2" max="2" width="17.1796875" bestFit="1" customWidth="1"/>
    <col min="3" max="3" width="12.7265625" customWidth="1"/>
    <col min="4" max="4" width="11.7265625" bestFit="1" customWidth="1"/>
    <col min="5" max="6" width="11.26953125" bestFit="1" customWidth="1"/>
    <col min="7" max="7" width="10.54296875" bestFit="1" customWidth="1"/>
    <col min="8" max="8" width="23.81640625" bestFit="1" customWidth="1"/>
    <col min="9" max="9" width="15.7265625" bestFit="1" customWidth="1"/>
    <col min="10" max="10" width="13.453125" bestFit="1" customWidth="1"/>
  </cols>
  <sheetData>
    <row r="2" spans="1:12" ht="18.75" x14ac:dyDescent="0.3">
      <c r="A2" s="3" t="s">
        <v>0</v>
      </c>
      <c r="B2" s="5">
        <v>7299917887</v>
      </c>
      <c r="C2" s="3"/>
      <c r="D2" s="5">
        <v>14500</v>
      </c>
      <c r="E2" s="3"/>
      <c r="F2" s="84" t="s">
        <v>345</v>
      </c>
      <c r="G2" s="3"/>
      <c r="H2" s="64"/>
    </row>
    <row r="3" spans="1:12" ht="18.75" x14ac:dyDescent="0.3">
      <c r="A3" s="3" t="s">
        <v>7</v>
      </c>
      <c r="B3" s="3">
        <v>9840168557</v>
      </c>
      <c r="C3" s="3"/>
      <c r="D3" s="5">
        <v>3200</v>
      </c>
      <c r="E3" s="3" t="s">
        <v>287</v>
      </c>
      <c r="F3" s="80">
        <v>3200</v>
      </c>
      <c r="G3" s="3" t="s">
        <v>157</v>
      </c>
      <c r="H3" s="64" t="s">
        <v>288</v>
      </c>
    </row>
    <row r="4" spans="1:12" ht="18.75" x14ac:dyDescent="0.3">
      <c r="A4" s="3" t="s">
        <v>7</v>
      </c>
      <c r="B4" s="3">
        <v>9840168557</v>
      </c>
      <c r="C4" s="3"/>
      <c r="D4" s="5">
        <v>3200</v>
      </c>
      <c r="E4" s="3" t="s">
        <v>339</v>
      </c>
      <c r="F4" s="80">
        <v>6400</v>
      </c>
      <c r="G4" s="3" t="s">
        <v>157</v>
      </c>
      <c r="H4" s="64" t="s">
        <v>347</v>
      </c>
    </row>
    <row r="5" spans="1:12" ht="18.75" x14ac:dyDescent="0.3">
      <c r="A5" s="3" t="s">
        <v>293</v>
      </c>
      <c r="B5" s="3">
        <v>9500649518</v>
      </c>
      <c r="C5" s="3"/>
      <c r="D5" s="5">
        <v>2000</v>
      </c>
      <c r="E5" s="3"/>
      <c r="F5" s="83" t="s">
        <v>346</v>
      </c>
      <c r="G5" s="3"/>
      <c r="H5" s="64">
        <v>7812831026</v>
      </c>
    </row>
    <row r="6" spans="1:12" ht="18.75" x14ac:dyDescent="0.3">
      <c r="A6" s="3" t="s">
        <v>305</v>
      </c>
      <c r="B6" s="3">
        <v>8681905148</v>
      </c>
      <c r="C6" s="3" t="s">
        <v>15</v>
      </c>
      <c r="D6" s="5">
        <v>1400</v>
      </c>
      <c r="E6" s="3"/>
      <c r="F6" s="83" t="s">
        <v>346</v>
      </c>
      <c r="G6" s="3"/>
      <c r="H6" s="78" t="s">
        <v>308</v>
      </c>
    </row>
    <row r="7" spans="1:12" ht="18.75" x14ac:dyDescent="0.3">
      <c r="A7" s="3" t="s">
        <v>36</v>
      </c>
      <c r="B7" s="3">
        <v>7904401435</v>
      </c>
      <c r="C7" s="3" t="s">
        <v>23</v>
      </c>
      <c r="D7" s="5">
        <v>1750</v>
      </c>
      <c r="E7" s="3" t="s">
        <v>302</v>
      </c>
      <c r="F7" s="80">
        <v>3500</v>
      </c>
      <c r="G7" s="3" t="s">
        <v>157</v>
      </c>
      <c r="H7" s="65" t="s">
        <v>304</v>
      </c>
      <c r="I7" s="1"/>
    </row>
    <row r="8" spans="1:12" ht="18.75" x14ac:dyDescent="0.3">
      <c r="A8" s="8" t="s">
        <v>321</v>
      </c>
      <c r="B8" s="21">
        <v>9940388908</v>
      </c>
      <c r="C8" s="3" t="s">
        <v>44</v>
      </c>
      <c r="D8" s="13">
        <v>1500</v>
      </c>
      <c r="E8" s="3" t="s">
        <v>324</v>
      </c>
      <c r="F8" s="80">
        <v>1500</v>
      </c>
      <c r="G8" s="3" t="s">
        <v>157</v>
      </c>
      <c r="H8" s="64"/>
    </row>
    <row r="9" spans="1:12" ht="18.75" x14ac:dyDescent="0.3">
      <c r="A9" s="8" t="s">
        <v>248</v>
      </c>
      <c r="B9" s="5">
        <v>7550283099</v>
      </c>
      <c r="C9" s="3" t="s">
        <v>44</v>
      </c>
      <c r="D9" s="58">
        <v>6850</v>
      </c>
      <c r="E9" s="3" t="s">
        <v>279</v>
      </c>
      <c r="F9" s="80">
        <v>6850</v>
      </c>
      <c r="G9" s="3" t="s">
        <v>2</v>
      </c>
      <c r="H9" s="64" t="s">
        <v>280</v>
      </c>
    </row>
    <row r="10" spans="1:12" ht="18.75" x14ac:dyDescent="0.3">
      <c r="A10" s="3" t="s">
        <v>35</v>
      </c>
      <c r="B10" s="5">
        <v>9629111188</v>
      </c>
      <c r="C10" s="3" t="s">
        <v>41</v>
      </c>
      <c r="D10" s="5">
        <v>1500</v>
      </c>
      <c r="E10" s="3"/>
      <c r="F10" s="80"/>
      <c r="G10" s="3"/>
      <c r="H10" s="65"/>
    </row>
    <row r="11" spans="1:12" ht="18.75" x14ac:dyDescent="0.3">
      <c r="A11" s="8" t="s">
        <v>45</v>
      </c>
      <c r="B11" s="5">
        <v>7904622354</v>
      </c>
      <c r="C11" s="3" t="s">
        <v>46</v>
      </c>
      <c r="D11" s="5">
        <v>3200</v>
      </c>
      <c r="E11" s="3" t="s">
        <v>329</v>
      </c>
      <c r="F11" s="80">
        <v>3200</v>
      </c>
      <c r="G11" s="3" t="s">
        <v>47</v>
      </c>
      <c r="H11" s="64"/>
      <c r="I11" s="3"/>
    </row>
    <row r="12" spans="1:12" ht="18.75" x14ac:dyDescent="0.3">
      <c r="A12" s="3" t="s">
        <v>60</v>
      </c>
      <c r="B12" s="5">
        <v>8925124442</v>
      </c>
      <c r="C12" s="3"/>
      <c r="D12" s="5">
        <v>3500</v>
      </c>
      <c r="E12" s="3" t="s">
        <v>311</v>
      </c>
      <c r="F12" s="80">
        <v>7000</v>
      </c>
      <c r="G12" s="3" t="s">
        <v>16</v>
      </c>
      <c r="H12" s="64" t="s">
        <v>312</v>
      </c>
      <c r="J12" s="51"/>
      <c r="K12" s="51"/>
      <c r="L12" s="51"/>
    </row>
    <row r="13" spans="1:12" ht="18.75" x14ac:dyDescent="0.3">
      <c r="A13" s="3" t="s">
        <v>113</v>
      </c>
      <c r="B13" s="5">
        <v>8148141825</v>
      </c>
      <c r="C13" s="3" t="s">
        <v>106</v>
      </c>
      <c r="D13" s="5">
        <v>1600</v>
      </c>
      <c r="E13" s="39"/>
      <c r="F13" s="80"/>
      <c r="G13" s="3"/>
      <c r="H13" s="66"/>
    </row>
    <row r="14" spans="1:12" ht="18.75" x14ac:dyDescent="0.3">
      <c r="A14" s="3" t="s">
        <v>223</v>
      </c>
      <c r="B14" s="5">
        <v>8148141825</v>
      </c>
      <c r="C14" s="3" t="s">
        <v>129</v>
      </c>
      <c r="D14" s="5">
        <v>1600</v>
      </c>
      <c r="E14" s="39" t="s">
        <v>317</v>
      </c>
      <c r="F14" s="80">
        <v>3200</v>
      </c>
      <c r="G14" s="3" t="s">
        <v>157</v>
      </c>
      <c r="H14" s="64"/>
    </row>
    <row r="15" spans="1:12" ht="18.75" x14ac:dyDescent="0.3">
      <c r="A15" s="3" t="s">
        <v>132</v>
      </c>
      <c r="B15" s="5">
        <v>6369398270</v>
      </c>
      <c r="C15" s="3" t="s">
        <v>130</v>
      </c>
      <c r="D15" s="5">
        <v>1500</v>
      </c>
      <c r="E15" s="3" t="s">
        <v>297</v>
      </c>
      <c r="F15" s="80">
        <v>1000</v>
      </c>
      <c r="G15" s="3" t="s">
        <v>157</v>
      </c>
      <c r="H15" s="64" t="s">
        <v>298</v>
      </c>
    </row>
    <row r="16" spans="1:12" ht="18.75" x14ac:dyDescent="0.3">
      <c r="A16" s="3" t="s">
        <v>160</v>
      </c>
      <c r="B16" s="5">
        <v>8825663180</v>
      </c>
      <c r="C16" s="3" t="s">
        <v>161</v>
      </c>
      <c r="D16" s="5">
        <v>1750</v>
      </c>
      <c r="E16" s="3" t="s">
        <v>316</v>
      </c>
      <c r="F16" s="80">
        <v>1750</v>
      </c>
      <c r="G16" s="3" t="s">
        <v>157</v>
      </c>
      <c r="H16" s="64"/>
    </row>
    <row r="17" spans="1:9" ht="18.75" x14ac:dyDescent="0.3">
      <c r="A17" s="3" t="s">
        <v>165</v>
      </c>
      <c r="B17" s="5">
        <v>9962842598</v>
      </c>
      <c r="C17" s="3" t="s">
        <v>164</v>
      </c>
      <c r="D17" s="5">
        <v>2000</v>
      </c>
      <c r="E17" s="3" t="s">
        <v>324</v>
      </c>
      <c r="F17" s="80">
        <v>2000</v>
      </c>
      <c r="G17" s="3" t="s">
        <v>157</v>
      </c>
      <c r="H17" s="64"/>
    </row>
    <row r="18" spans="1:9" ht="18.75" x14ac:dyDescent="0.3">
      <c r="A18" s="3" t="s">
        <v>175</v>
      </c>
      <c r="B18" s="5">
        <v>9080260674</v>
      </c>
      <c r="C18" s="3" t="s">
        <v>176</v>
      </c>
      <c r="D18" s="5">
        <v>2000</v>
      </c>
      <c r="E18" s="3"/>
      <c r="F18" s="83" t="s">
        <v>345</v>
      </c>
      <c r="G18" s="3"/>
      <c r="H18" s="64" t="s">
        <v>6</v>
      </c>
    </row>
    <row r="19" spans="1:9" ht="18.75" x14ac:dyDescent="0.3">
      <c r="A19" s="3" t="s">
        <v>185</v>
      </c>
      <c r="B19" s="5">
        <v>8428000331</v>
      </c>
      <c r="C19" s="3" t="s">
        <v>184</v>
      </c>
      <c r="D19" s="48">
        <v>1600</v>
      </c>
      <c r="E19" s="3"/>
      <c r="F19" s="80"/>
      <c r="G19" s="3"/>
      <c r="H19" s="72">
        <v>8100</v>
      </c>
    </row>
    <row r="20" spans="1:9" ht="18.75" x14ac:dyDescent="0.3">
      <c r="A20" s="3" t="s">
        <v>185</v>
      </c>
      <c r="B20" s="5"/>
      <c r="C20" s="3" t="s">
        <v>286</v>
      </c>
      <c r="D20" s="48">
        <v>1700</v>
      </c>
      <c r="E20" s="3" t="s">
        <v>339</v>
      </c>
      <c r="F20" s="80">
        <v>8000</v>
      </c>
      <c r="G20" s="3" t="s">
        <v>157</v>
      </c>
      <c r="H20" s="72"/>
    </row>
    <row r="21" spans="1:9" ht="18.75" x14ac:dyDescent="0.3">
      <c r="A21" s="3" t="s">
        <v>194</v>
      </c>
      <c r="B21" s="5">
        <v>9941351728</v>
      </c>
      <c r="C21" s="3" t="s">
        <v>195</v>
      </c>
      <c r="D21" s="5">
        <v>3500</v>
      </c>
      <c r="E21" s="3" t="s">
        <v>297</v>
      </c>
      <c r="F21" s="80">
        <v>3500</v>
      </c>
      <c r="G21" s="3" t="s">
        <v>157</v>
      </c>
      <c r="H21" s="64"/>
    </row>
    <row r="22" spans="1:9" ht="18.75" x14ac:dyDescent="0.3">
      <c r="A22" s="3" t="s">
        <v>7</v>
      </c>
      <c r="B22" s="5">
        <v>9840168557</v>
      </c>
      <c r="C22" s="3" t="s">
        <v>208</v>
      </c>
      <c r="D22" s="5">
        <v>4000</v>
      </c>
      <c r="E22" s="3" t="s">
        <v>339</v>
      </c>
      <c r="F22" s="80">
        <v>4000</v>
      </c>
      <c r="G22" s="3" t="s">
        <v>157</v>
      </c>
      <c r="H22" s="64"/>
    </row>
    <row r="23" spans="1:9" ht="18.75" x14ac:dyDescent="0.3">
      <c r="A23" s="3" t="s">
        <v>241</v>
      </c>
      <c r="B23" s="5">
        <v>8939538396</v>
      </c>
      <c r="C23" s="3" t="s">
        <v>242</v>
      </c>
      <c r="D23" s="5">
        <v>4500</v>
      </c>
      <c r="E23" s="3"/>
      <c r="F23" s="80" t="s">
        <v>229</v>
      </c>
      <c r="G23" s="3"/>
      <c r="H23" s="66" t="s">
        <v>315</v>
      </c>
      <c r="I23" t="s">
        <v>245</v>
      </c>
    </row>
    <row r="24" spans="1:9" ht="18.75" x14ac:dyDescent="0.3">
      <c r="A24" s="3" t="s">
        <v>266</v>
      </c>
      <c r="B24" s="5">
        <v>6385458304</v>
      </c>
      <c r="C24" s="3" t="s">
        <v>259</v>
      </c>
      <c r="D24" s="5">
        <v>2200</v>
      </c>
      <c r="E24" s="3" t="s">
        <v>324</v>
      </c>
      <c r="F24" s="80">
        <v>2200</v>
      </c>
      <c r="G24" s="3" t="s">
        <v>157</v>
      </c>
      <c r="H24" s="66"/>
    </row>
    <row r="25" spans="1:9" ht="18.75" x14ac:dyDescent="0.3">
      <c r="A25" s="3" t="s">
        <v>267</v>
      </c>
      <c r="B25" s="5">
        <v>9952968436</v>
      </c>
      <c r="C25" s="3" t="s">
        <v>263</v>
      </c>
      <c r="D25" s="5">
        <v>2000</v>
      </c>
      <c r="E25" s="3"/>
      <c r="F25" s="83" t="s">
        <v>346</v>
      </c>
      <c r="G25" s="3"/>
      <c r="H25" s="81" t="s">
        <v>325</v>
      </c>
    </row>
    <row r="26" spans="1:9" ht="18.75" x14ac:dyDescent="0.3">
      <c r="A26" s="3" t="s">
        <v>268</v>
      </c>
      <c r="B26" s="5">
        <v>9345845341</v>
      </c>
      <c r="C26" s="3" t="s">
        <v>265</v>
      </c>
      <c r="D26" s="5">
        <v>2000</v>
      </c>
      <c r="E26" s="3"/>
      <c r="F26" s="80"/>
      <c r="G26" s="3"/>
      <c r="H26" s="66"/>
    </row>
    <row r="27" spans="1:9" ht="18.75" x14ac:dyDescent="0.3">
      <c r="A27" s="3" t="s">
        <v>269</v>
      </c>
      <c r="B27" s="5">
        <v>9080506121</v>
      </c>
      <c r="C27" s="3" t="s">
        <v>270</v>
      </c>
      <c r="D27" s="5">
        <v>2300</v>
      </c>
      <c r="E27" s="3"/>
      <c r="F27" s="80"/>
      <c r="G27" s="3"/>
      <c r="H27" s="66"/>
    </row>
    <row r="28" spans="1:9" ht="18.75" x14ac:dyDescent="0.3">
      <c r="A28" s="3" t="s">
        <v>285</v>
      </c>
      <c r="B28" s="5">
        <v>9791050538</v>
      </c>
      <c r="C28" s="3" t="s">
        <v>279</v>
      </c>
      <c r="D28" s="5">
        <v>3400</v>
      </c>
      <c r="E28" s="3" t="s">
        <v>270</v>
      </c>
      <c r="F28" s="80">
        <v>3400</v>
      </c>
      <c r="G28" s="3" t="s">
        <v>47</v>
      </c>
      <c r="H28" s="71"/>
    </row>
    <row r="29" spans="1:9" ht="18.75" x14ac:dyDescent="0.3">
      <c r="A29" s="3" t="s">
        <v>299</v>
      </c>
      <c r="B29" s="5">
        <v>9962894511</v>
      </c>
      <c r="C29" s="3" t="s">
        <v>279</v>
      </c>
      <c r="D29" s="5">
        <v>1500</v>
      </c>
      <c r="E29" s="3" t="s">
        <v>279</v>
      </c>
      <c r="F29" s="80">
        <v>2000</v>
      </c>
      <c r="G29" s="3" t="s">
        <v>157</v>
      </c>
      <c r="H29" s="66" t="s">
        <v>314</v>
      </c>
    </row>
    <row r="30" spans="1:9" ht="18.75" x14ac:dyDescent="0.3">
      <c r="A30" s="3" t="s">
        <v>300</v>
      </c>
      <c r="B30" s="5"/>
      <c r="C30" s="3" t="s">
        <v>292</v>
      </c>
      <c r="D30" s="5">
        <v>5000</v>
      </c>
      <c r="E30" s="3" t="s">
        <v>292</v>
      </c>
      <c r="F30" s="80">
        <v>5000</v>
      </c>
      <c r="G30" s="3" t="s">
        <v>16</v>
      </c>
      <c r="H30" s="66"/>
    </row>
    <row r="31" spans="1:9" ht="18.75" x14ac:dyDescent="0.3">
      <c r="A31" s="3" t="s">
        <v>306</v>
      </c>
      <c r="B31" s="5">
        <v>9791101009</v>
      </c>
      <c r="C31" s="3" t="s">
        <v>307</v>
      </c>
      <c r="D31" s="5">
        <v>1500</v>
      </c>
      <c r="E31" s="3"/>
      <c r="F31" s="80">
        <v>1500</v>
      </c>
      <c r="G31" s="3" t="s">
        <v>16</v>
      </c>
      <c r="H31" s="66"/>
    </row>
    <row r="32" spans="1:9" ht="18.75" x14ac:dyDescent="0.3">
      <c r="A32" s="3" t="s">
        <v>306</v>
      </c>
      <c r="B32" s="5">
        <v>9791101009</v>
      </c>
      <c r="C32" s="3" t="s">
        <v>307</v>
      </c>
      <c r="D32" s="5"/>
      <c r="E32" s="3"/>
      <c r="F32" s="80">
        <v>100</v>
      </c>
      <c r="G32" s="3" t="s">
        <v>157</v>
      </c>
      <c r="H32" s="66"/>
    </row>
    <row r="33" spans="1:12" ht="18.75" x14ac:dyDescent="0.3">
      <c r="A33" s="3" t="s">
        <v>313</v>
      </c>
      <c r="B33" s="5">
        <v>8929406143</v>
      </c>
      <c r="C33" s="3" t="s">
        <v>311</v>
      </c>
      <c r="D33" s="5">
        <v>4700</v>
      </c>
      <c r="E33" s="3" t="s">
        <v>311</v>
      </c>
      <c r="F33" s="80">
        <v>4700</v>
      </c>
      <c r="G33" s="3" t="s">
        <v>157</v>
      </c>
      <c r="H33" s="66"/>
    </row>
    <row r="34" spans="1:12" ht="18.75" x14ac:dyDescent="0.3">
      <c r="A34" s="3" t="s">
        <v>319</v>
      </c>
      <c r="B34" s="5"/>
      <c r="C34" s="3" t="s">
        <v>294</v>
      </c>
      <c r="D34" s="5"/>
      <c r="E34" s="3" t="s">
        <v>317</v>
      </c>
      <c r="F34" s="80">
        <v>8127</v>
      </c>
      <c r="G34" s="3" t="s">
        <v>320</v>
      </c>
      <c r="H34" s="64"/>
    </row>
    <row r="35" spans="1:12" ht="18.75" x14ac:dyDescent="0.3">
      <c r="A35" s="3" t="s">
        <v>319</v>
      </c>
      <c r="B35" s="5"/>
      <c r="C35" s="3"/>
      <c r="D35" s="5"/>
      <c r="E35" s="3"/>
      <c r="F35" s="80">
        <v>10000</v>
      </c>
      <c r="G35" s="3" t="s">
        <v>320</v>
      </c>
      <c r="H35" s="64"/>
    </row>
    <row r="36" spans="1:12" ht="18.75" x14ac:dyDescent="0.3">
      <c r="A36" s="3" t="s">
        <v>330</v>
      </c>
      <c r="B36" s="5">
        <v>9884664943</v>
      </c>
      <c r="C36" s="3" t="s">
        <v>329</v>
      </c>
      <c r="D36" s="5">
        <v>2000</v>
      </c>
      <c r="E36" s="3" t="s">
        <v>329</v>
      </c>
      <c r="F36" s="80">
        <v>2200</v>
      </c>
      <c r="G36" s="3" t="s">
        <v>157</v>
      </c>
      <c r="H36" s="64"/>
    </row>
    <row r="37" spans="1:12" ht="18.75" x14ac:dyDescent="0.3">
      <c r="A37" s="3" t="s">
        <v>471</v>
      </c>
      <c r="B37" s="5"/>
      <c r="C37" s="3" t="s">
        <v>339</v>
      </c>
      <c r="D37" s="5">
        <v>1800</v>
      </c>
      <c r="E37" s="3"/>
      <c r="F37" s="80">
        <v>3600</v>
      </c>
      <c r="G37" s="3" t="s">
        <v>2</v>
      </c>
      <c r="H37" s="64" t="s">
        <v>478</v>
      </c>
    </row>
    <row r="38" spans="1:12" ht="18.75" x14ac:dyDescent="0.3">
      <c r="A38" s="3"/>
      <c r="B38" s="5"/>
      <c r="C38" s="3"/>
      <c r="D38" s="5"/>
      <c r="E38" s="3"/>
      <c r="F38" s="80"/>
      <c r="G38" s="3"/>
      <c r="H38" s="64"/>
    </row>
    <row r="39" spans="1:12" ht="18.75" x14ac:dyDescent="0.3">
      <c r="A39" s="3"/>
      <c r="B39" s="5"/>
      <c r="C39" s="3"/>
      <c r="D39" s="5"/>
      <c r="E39" s="3"/>
      <c r="F39" s="80"/>
      <c r="G39" s="3"/>
      <c r="H39" s="64"/>
    </row>
    <row r="40" spans="1:12" ht="15" x14ac:dyDescent="0.25">
      <c r="F40" s="18"/>
      <c r="H40" s="64"/>
    </row>
    <row r="41" spans="1:12" ht="15" x14ac:dyDescent="0.25">
      <c r="F41" s="18"/>
      <c r="H41" s="64"/>
    </row>
    <row r="42" spans="1:12" ht="15" x14ac:dyDescent="0.25">
      <c r="F42" s="18"/>
      <c r="H42" s="64"/>
    </row>
    <row r="43" spans="1:12" ht="15" x14ac:dyDescent="0.25">
      <c r="C43" s="20" t="s">
        <v>66</v>
      </c>
      <c r="D43" s="20"/>
      <c r="F43" s="18"/>
      <c r="H43" s="64"/>
    </row>
    <row r="44" spans="1:12" ht="15" x14ac:dyDescent="0.25">
      <c r="D44" s="19"/>
      <c r="E44" s="19"/>
      <c r="F44" s="19"/>
      <c r="G44" s="19"/>
      <c r="H44" s="64"/>
    </row>
    <row r="45" spans="1:12" ht="15.75" x14ac:dyDescent="0.25">
      <c r="A45" s="82" t="s">
        <v>188</v>
      </c>
      <c r="B45" s="4"/>
      <c r="C45" s="40" t="s">
        <v>88</v>
      </c>
      <c r="D45" s="40" t="s">
        <v>82</v>
      </c>
      <c r="E45" s="40" t="s">
        <v>89</v>
      </c>
      <c r="F45" s="40" t="s">
        <v>69</v>
      </c>
      <c r="G45" s="40" t="s">
        <v>69</v>
      </c>
      <c r="H45" s="68" t="s">
        <v>84</v>
      </c>
      <c r="I45" s="40" t="s">
        <v>189</v>
      </c>
      <c r="J45" s="52"/>
      <c r="K45" s="4"/>
      <c r="L45" s="4"/>
    </row>
    <row r="46" spans="1:12" x14ac:dyDescent="0.35">
      <c r="A46" s="4"/>
      <c r="B46" s="4"/>
      <c r="C46" s="40"/>
      <c r="D46" s="40"/>
      <c r="E46" s="40"/>
      <c r="F46" s="40"/>
      <c r="G46" s="40"/>
      <c r="H46" s="68"/>
      <c r="I46" s="40"/>
      <c r="J46" s="52"/>
      <c r="K46" s="4"/>
      <c r="L46" s="4"/>
    </row>
    <row r="47" spans="1:12" x14ac:dyDescent="0.35">
      <c r="A47" s="4"/>
      <c r="B47" s="4"/>
      <c r="C47" s="40"/>
      <c r="D47" s="40"/>
      <c r="E47" s="40"/>
      <c r="F47" s="40"/>
      <c r="G47" s="40"/>
      <c r="H47" s="68"/>
      <c r="I47" s="40"/>
      <c r="J47" s="52"/>
      <c r="K47" s="4"/>
      <c r="L47" s="4"/>
    </row>
    <row r="48" spans="1:12" ht="18.5" x14ac:dyDescent="0.45">
      <c r="A48" s="3" t="s">
        <v>187</v>
      </c>
      <c r="B48" s="3"/>
      <c r="C48" s="3" t="s">
        <v>279</v>
      </c>
      <c r="D48" s="41">
        <v>50</v>
      </c>
      <c r="E48" s="41">
        <v>25600</v>
      </c>
      <c r="F48" s="41">
        <v>2304</v>
      </c>
      <c r="G48" s="41">
        <v>2304</v>
      </c>
      <c r="H48" s="41">
        <v>30208</v>
      </c>
      <c r="I48" s="60" t="s">
        <v>190</v>
      </c>
      <c r="J48" s="54" t="s">
        <v>317</v>
      </c>
      <c r="K48" s="4"/>
      <c r="L48" s="4"/>
    </row>
    <row r="49" spans="1:12" ht="18.5" x14ac:dyDescent="0.45">
      <c r="A49" s="3" t="s">
        <v>289</v>
      </c>
      <c r="B49" s="3"/>
      <c r="C49" s="3" t="s">
        <v>279</v>
      </c>
      <c r="D49" s="41">
        <v>51</v>
      </c>
      <c r="E49" s="41">
        <v>8200</v>
      </c>
      <c r="F49" s="41">
        <v>738</v>
      </c>
      <c r="G49" s="41">
        <v>738</v>
      </c>
      <c r="H49" s="41">
        <v>9676</v>
      </c>
      <c r="I49" s="60" t="s">
        <v>192</v>
      </c>
      <c r="J49" s="54" t="s">
        <v>295</v>
      </c>
      <c r="K49" s="4">
        <v>9676</v>
      </c>
      <c r="L49" s="4"/>
    </row>
    <row r="50" spans="1:12" ht="18.5" x14ac:dyDescent="0.45">
      <c r="A50" s="3" t="s">
        <v>147</v>
      </c>
      <c r="B50" s="5">
        <v>9840439660</v>
      </c>
      <c r="C50" s="3" t="s">
        <v>279</v>
      </c>
      <c r="D50" s="41">
        <v>52</v>
      </c>
      <c r="E50" s="41">
        <v>6000</v>
      </c>
      <c r="F50" s="41">
        <v>540</v>
      </c>
      <c r="G50" s="41">
        <v>540</v>
      </c>
      <c r="H50" s="41">
        <v>7080</v>
      </c>
      <c r="I50" s="60" t="s">
        <v>191</v>
      </c>
      <c r="J50" s="54" t="s">
        <v>377</v>
      </c>
      <c r="K50" s="4">
        <v>7080</v>
      </c>
      <c r="L50" s="4"/>
    </row>
    <row r="51" spans="1:12" ht="18.5" x14ac:dyDescent="0.45">
      <c r="A51" s="3" t="s">
        <v>290</v>
      </c>
      <c r="B51" s="5">
        <v>9578312546</v>
      </c>
      <c r="C51" s="3" t="s">
        <v>287</v>
      </c>
      <c r="D51" s="41">
        <v>53</v>
      </c>
      <c r="E51" s="41">
        <v>1800</v>
      </c>
      <c r="F51" s="41">
        <v>162</v>
      </c>
      <c r="G51" s="41">
        <v>162</v>
      </c>
      <c r="H51" s="41">
        <v>2124</v>
      </c>
      <c r="I51" s="60" t="s">
        <v>214</v>
      </c>
      <c r="J51" s="54" t="s">
        <v>353</v>
      </c>
      <c r="K51" s="4">
        <v>2088</v>
      </c>
      <c r="L51" s="4"/>
    </row>
    <row r="52" spans="1:12" ht="18.5" x14ac:dyDescent="0.45">
      <c r="A52" s="3" t="s">
        <v>291</v>
      </c>
      <c r="B52" s="5">
        <v>9150272188</v>
      </c>
      <c r="C52" s="3" t="s">
        <v>287</v>
      </c>
      <c r="D52" s="41">
        <v>54</v>
      </c>
      <c r="E52" s="41">
        <v>5800</v>
      </c>
      <c r="F52" s="41">
        <v>522</v>
      </c>
      <c r="G52" s="41">
        <v>522</v>
      </c>
      <c r="H52" s="41">
        <v>6844</v>
      </c>
      <c r="I52" s="60" t="s">
        <v>215</v>
      </c>
      <c r="J52" s="54" t="s">
        <v>309</v>
      </c>
      <c r="K52" s="4">
        <v>6844</v>
      </c>
      <c r="L52" s="4"/>
    </row>
    <row r="53" spans="1:12" ht="18.5" x14ac:dyDescent="0.45">
      <c r="A53" s="3" t="s">
        <v>201</v>
      </c>
      <c r="B53" s="5">
        <v>8939848531</v>
      </c>
      <c r="C53" s="3" t="s">
        <v>287</v>
      </c>
      <c r="D53" s="41">
        <v>55</v>
      </c>
      <c r="E53" s="41">
        <v>14500</v>
      </c>
      <c r="F53" s="41">
        <v>1305</v>
      </c>
      <c r="G53" s="41">
        <v>1305</v>
      </c>
      <c r="H53" s="41">
        <v>17110</v>
      </c>
      <c r="I53" s="60" t="s">
        <v>211</v>
      </c>
      <c r="J53" s="77" t="s">
        <v>297</v>
      </c>
      <c r="K53" s="4">
        <v>16940</v>
      </c>
      <c r="L53" s="4"/>
    </row>
    <row r="54" spans="1:12" ht="18.5" x14ac:dyDescent="0.45">
      <c r="A54" s="3" t="s">
        <v>70</v>
      </c>
      <c r="B54" s="5">
        <v>9840053400</v>
      </c>
      <c r="C54" s="3" t="s">
        <v>287</v>
      </c>
      <c r="D54" s="41">
        <v>56</v>
      </c>
      <c r="E54" s="41">
        <v>5600</v>
      </c>
      <c r="F54" s="41">
        <v>504</v>
      </c>
      <c r="G54" s="41">
        <v>504</v>
      </c>
      <c r="H54" s="41">
        <v>6608</v>
      </c>
      <c r="I54" s="60" t="s">
        <v>213</v>
      </c>
      <c r="J54" s="54" t="s">
        <v>435</v>
      </c>
      <c r="K54" s="4">
        <v>6552</v>
      </c>
      <c r="L54" s="4"/>
    </row>
    <row r="55" spans="1:12" ht="18.5" x14ac:dyDescent="0.45">
      <c r="A55" s="3" t="s">
        <v>301</v>
      </c>
      <c r="B55" s="5">
        <v>8754356469</v>
      </c>
      <c r="C55" s="3" t="s">
        <v>302</v>
      </c>
      <c r="D55" s="41">
        <v>57</v>
      </c>
      <c r="E55" s="41">
        <v>3700</v>
      </c>
      <c r="F55" s="41">
        <v>333</v>
      </c>
      <c r="G55" s="41">
        <v>333</v>
      </c>
      <c r="H55" s="41">
        <v>4366</v>
      </c>
      <c r="I55" s="60"/>
      <c r="J55" s="54" t="s">
        <v>302</v>
      </c>
      <c r="K55" s="4">
        <v>4366</v>
      </c>
      <c r="L55" s="4"/>
    </row>
    <row r="56" spans="1:12" ht="18.5" x14ac:dyDescent="0.45">
      <c r="A56" s="3" t="s">
        <v>602</v>
      </c>
      <c r="B56" s="5">
        <v>9841309841</v>
      </c>
      <c r="C56" s="3" t="s">
        <v>331</v>
      </c>
      <c r="D56" s="41">
        <v>58</v>
      </c>
      <c r="E56" s="41">
        <v>2300</v>
      </c>
      <c r="F56" s="41">
        <v>207</v>
      </c>
      <c r="G56" s="41">
        <v>207</v>
      </c>
      <c r="H56" s="41">
        <v>2714</v>
      </c>
      <c r="I56" s="60" t="s">
        <v>231</v>
      </c>
      <c r="J56" s="54" t="s">
        <v>466</v>
      </c>
      <c r="K56" s="4">
        <v>10000</v>
      </c>
      <c r="L56" s="4" t="s">
        <v>529</v>
      </c>
    </row>
    <row r="57" spans="1:12" ht="18.5" x14ac:dyDescent="0.45">
      <c r="A57" s="3" t="s">
        <v>254</v>
      </c>
      <c r="B57" s="5">
        <v>9344659805</v>
      </c>
      <c r="C57" s="3" t="s">
        <v>316</v>
      </c>
      <c r="D57" s="41">
        <v>59</v>
      </c>
      <c r="E57" s="41">
        <v>30296</v>
      </c>
      <c r="F57" s="41">
        <v>2726.64</v>
      </c>
      <c r="G57" s="41">
        <v>2726.64</v>
      </c>
      <c r="H57" s="41">
        <v>35749.279999999999</v>
      </c>
      <c r="I57" s="60" t="s">
        <v>233</v>
      </c>
      <c r="J57" s="88" t="s">
        <v>377</v>
      </c>
      <c r="K57" s="4">
        <v>32750</v>
      </c>
      <c r="L57" s="4"/>
    </row>
    <row r="58" spans="1:12" ht="18.5" x14ac:dyDescent="0.45">
      <c r="A58" s="3" t="s">
        <v>222</v>
      </c>
      <c r="B58" s="5">
        <v>9943084508</v>
      </c>
      <c r="C58" s="3" t="s">
        <v>316</v>
      </c>
      <c r="D58" s="41">
        <v>60</v>
      </c>
      <c r="E58" s="41">
        <v>5000</v>
      </c>
      <c r="F58" s="41">
        <v>450</v>
      </c>
      <c r="G58" s="41">
        <v>450</v>
      </c>
      <c r="H58" s="41">
        <v>5900</v>
      </c>
      <c r="I58" s="60" t="s">
        <v>235</v>
      </c>
      <c r="J58" s="54" t="s">
        <v>353</v>
      </c>
      <c r="K58" s="4">
        <v>11800</v>
      </c>
      <c r="L58" s="4"/>
    </row>
    <row r="59" spans="1:12" ht="18.5" x14ac:dyDescent="0.45">
      <c r="A59" s="3" t="s">
        <v>332</v>
      </c>
      <c r="B59" s="5">
        <v>9884123865</v>
      </c>
      <c r="C59" s="5" t="s">
        <v>316</v>
      </c>
      <c r="D59" s="41">
        <v>61</v>
      </c>
      <c r="E59" s="41">
        <v>1400</v>
      </c>
      <c r="F59" s="41">
        <v>126</v>
      </c>
      <c r="G59" s="41">
        <v>126</v>
      </c>
      <c r="H59" s="41">
        <v>1652</v>
      </c>
      <c r="I59" s="61" t="s">
        <v>333</v>
      </c>
      <c r="J59" s="54" t="s">
        <v>387</v>
      </c>
      <c r="K59" s="4">
        <v>1652</v>
      </c>
      <c r="L59" s="4"/>
    </row>
    <row r="60" spans="1:12" ht="18.5" x14ac:dyDescent="0.45">
      <c r="A60" s="3" t="s">
        <v>180</v>
      </c>
      <c r="B60" s="5"/>
      <c r="C60" s="5" t="s">
        <v>318</v>
      </c>
      <c r="D60" s="41">
        <v>62</v>
      </c>
      <c r="E60" s="41">
        <v>2000</v>
      </c>
      <c r="F60" s="41">
        <v>180</v>
      </c>
      <c r="G60" s="41">
        <v>180</v>
      </c>
      <c r="H60" s="41">
        <v>2360</v>
      </c>
      <c r="I60" s="61" t="s">
        <v>284</v>
      </c>
      <c r="J60" s="54" t="s">
        <v>387</v>
      </c>
      <c r="K60" s="4">
        <v>2360</v>
      </c>
      <c r="L60" s="4"/>
    </row>
    <row r="61" spans="1:12" ht="18.5" x14ac:dyDescent="0.45">
      <c r="A61" s="3" t="s">
        <v>323</v>
      </c>
      <c r="B61" s="3">
        <v>9746603034</v>
      </c>
      <c r="C61" s="3" t="s">
        <v>324</v>
      </c>
      <c r="D61" s="41">
        <v>63</v>
      </c>
      <c r="E61" s="41">
        <v>2100</v>
      </c>
      <c r="F61" s="41">
        <v>378</v>
      </c>
      <c r="G61" s="41">
        <v>378</v>
      </c>
      <c r="H61" s="41">
        <v>2478</v>
      </c>
      <c r="I61" s="60" t="s">
        <v>334</v>
      </c>
      <c r="J61" s="54" t="s">
        <v>390</v>
      </c>
      <c r="K61" s="4">
        <v>2478</v>
      </c>
      <c r="L61" s="4"/>
    </row>
    <row r="62" spans="1:12" ht="18.5" x14ac:dyDescent="0.45">
      <c r="A62" s="3" t="s">
        <v>336</v>
      </c>
      <c r="B62" s="3">
        <v>8420778418</v>
      </c>
      <c r="C62" s="3" t="s">
        <v>329</v>
      </c>
      <c r="D62" s="41">
        <v>64</v>
      </c>
      <c r="E62" s="41">
        <v>3200</v>
      </c>
      <c r="F62" s="41">
        <v>288</v>
      </c>
      <c r="G62" s="41">
        <v>288</v>
      </c>
      <c r="H62" s="41">
        <v>3776</v>
      </c>
      <c r="I62" s="60" t="s">
        <v>335</v>
      </c>
      <c r="J62" s="54" t="s">
        <v>329</v>
      </c>
      <c r="K62" s="4">
        <v>3200</v>
      </c>
      <c r="L62" s="4"/>
    </row>
    <row r="63" spans="1:12" ht="18.5" x14ac:dyDescent="0.45">
      <c r="A63" s="3" t="s">
        <v>327</v>
      </c>
      <c r="B63" s="3"/>
      <c r="C63" s="3" t="s">
        <v>329</v>
      </c>
      <c r="D63" s="41">
        <v>65</v>
      </c>
      <c r="E63" s="41">
        <v>2600</v>
      </c>
      <c r="F63" s="41">
        <v>234</v>
      </c>
      <c r="G63" s="41">
        <v>234</v>
      </c>
      <c r="H63" s="41">
        <v>3068</v>
      </c>
      <c r="I63" s="60" t="s">
        <v>283</v>
      </c>
      <c r="J63" s="54" t="s">
        <v>444</v>
      </c>
      <c r="K63" s="4">
        <v>3068</v>
      </c>
      <c r="L63" s="4"/>
    </row>
    <row r="64" spans="1:12" ht="18.5" x14ac:dyDescent="0.45">
      <c r="A64" s="3"/>
      <c r="B64" s="3"/>
      <c r="C64" s="3"/>
      <c r="D64" s="41"/>
      <c r="E64" s="41"/>
      <c r="F64" s="41"/>
      <c r="G64" s="41"/>
      <c r="H64" s="41"/>
      <c r="I64" s="60"/>
      <c r="J64" s="54"/>
      <c r="K64" s="4"/>
      <c r="L64" s="4"/>
    </row>
    <row r="65" spans="1:12" ht="18.5" x14ac:dyDescent="0.45">
      <c r="A65" s="3"/>
      <c r="B65" s="3"/>
      <c r="C65" s="3"/>
      <c r="D65" s="41"/>
      <c r="E65" s="41"/>
      <c r="F65" s="41"/>
      <c r="G65" s="41"/>
      <c r="H65" s="41"/>
      <c r="I65" s="60"/>
      <c r="J65" s="54"/>
      <c r="K65" s="4"/>
      <c r="L65" s="4"/>
    </row>
    <row r="66" spans="1:12" ht="18.5" x14ac:dyDescent="0.45">
      <c r="A66" s="3"/>
      <c r="B66" s="3"/>
      <c r="C66" s="3"/>
      <c r="D66" s="41"/>
      <c r="E66" s="41"/>
      <c r="F66" s="41"/>
      <c r="G66" s="41"/>
      <c r="H66" s="41"/>
      <c r="I66" s="60"/>
      <c r="J66" s="54"/>
      <c r="K66" s="4"/>
      <c r="L66" s="4"/>
    </row>
    <row r="67" spans="1:12" ht="18.5" x14ac:dyDescent="0.45">
      <c r="A67" s="3"/>
      <c r="B67" s="3"/>
      <c r="C67" s="3"/>
      <c r="D67" s="41"/>
      <c r="E67" s="41"/>
      <c r="F67" s="41"/>
      <c r="G67" s="41"/>
      <c r="H67" s="41"/>
      <c r="I67" s="60"/>
      <c r="J67" s="54"/>
      <c r="K67" s="4"/>
      <c r="L67" s="4"/>
    </row>
    <row r="68" spans="1:12" ht="18.5" x14ac:dyDescent="0.45">
      <c r="A68" s="3"/>
      <c r="B68" s="3"/>
      <c r="C68" s="3"/>
      <c r="D68" s="41"/>
      <c r="E68" s="41"/>
      <c r="F68" s="41"/>
      <c r="G68" s="41"/>
      <c r="H68" s="41"/>
      <c r="I68" s="60"/>
      <c r="J68" s="54"/>
      <c r="K68" s="4"/>
      <c r="L68" s="4"/>
    </row>
    <row r="69" spans="1:12" ht="18.5" x14ac:dyDescent="0.45">
      <c r="A69" s="3"/>
      <c r="B69" s="3"/>
      <c r="C69" s="3"/>
      <c r="D69" s="41"/>
      <c r="E69" s="41"/>
      <c r="F69" s="41"/>
      <c r="G69" s="41"/>
      <c r="H69" s="41"/>
      <c r="I69" s="60"/>
      <c r="J69" s="54"/>
      <c r="K69" s="4"/>
      <c r="L69" s="4"/>
    </row>
    <row r="70" spans="1:12" ht="18.5" x14ac:dyDescent="0.45">
      <c r="A70" s="3"/>
      <c r="B70" s="5"/>
      <c r="C70" s="3"/>
      <c r="D70" s="41"/>
      <c r="E70" s="41"/>
      <c r="F70" s="41"/>
      <c r="G70" s="41"/>
      <c r="H70" s="41"/>
      <c r="I70" s="60"/>
      <c r="J70" s="54"/>
      <c r="K70" s="4"/>
      <c r="L70" s="4"/>
    </row>
    <row r="71" spans="1:12" ht="18.5" x14ac:dyDescent="0.45">
      <c r="A71" s="3"/>
      <c r="B71" s="5"/>
      <c r="C71" s="3"/>
      <c r="D71" s="41"/>
      <c r="E71" s="41"/>
      <c r="F71" s="41"/>
      <c r="G71" s="41"/>
      <c r="H71" s="41"/>
      <c r="I71" s="60"/>
      <c r="J71" s="54"/>
      <c r="K71" s="4"/>
      <c r="L71" s="4"/>
    </row>
    <row r="72" spans="1:12" ht="18.5" x14ac:dyDescent="0.45">
      <c r="A72" s="3"/>
      <c r="B72" s="5"/>
      <c r="C72" s="3"/>
      <c r="D72" s="41"/>
      <c r="E72" s="41"/>
      <c r="F72" s="41"/>
      <c r="G72" s="41"/>
      <c r="H72" s="41"/>
      <c r="I72" s="60"/>
      <c r="J72" s="54"/>
      <c r="K72" s="4"/>
      <c r="L72" s="4"/>
    </row>
    <row r="73" spans="1:12" ht="18.5" x14ac:dyDescent="0.45">
      <c r="A73" s="3"/>
      <c r="B73" s="5"/>
      <c r="C73" s="3"/>
      <c r="D73" s="41"/>
      <c r="E73" s="41"/>
      <c r="F73" s="41"/>
      <c r="G73" s="41"/>
      <c r="H73" s="41"/>
      <c r="I73" s="60"/>
      <c r="J73" s="59"/>
      <c r="K73" s="4"/>
      <c r="L73" s="4"/>
    </row>
    <row r="74" spans="1:12" ht="18.5" x14ac:dyDescent="0.45">
      <c r="A74" s="3"/>
      <c r="B74" s="5"/>
      <c r="C74" s="3"/>
      <c r="D74" s="41"/>
      <c r="E74" s="41"/>
      <c r="F74" s="41"/>
      <c r="G74" s="41"/>
      <c r="H74" s="41"/>
      <c r="I74" s="60"/>
      <c r="J74" s="54"/>
      <c r="K74" s="4"/>
      <c r="L74" s="4"/>
    </row>
    <row r="75" spans="1:12" ht="18.5" x14ac:dyDescent="0.45">
      <c r="A75" s="3"/>
      <c r="B75" s="3"/>
      <c r="C75" s="3"/>
      <c r="D75" s="41"/>
      <c r="E75" s="41"/>
      <c r="F75" s="41"/>
      <c r="G75" s="41"/>
      <c r="H75" s="41"/>
      <c r="I75" s="61"/>
      <c r="J75" s="59"/>
      <c r="K75" s="4"/>
      <c r="L75" s="4"/>
    </row>
    <row r="76" spans="1:12" ht="18.5" x14ac:dyDescent="0.45">
      <c r="A76" s="3"/>
      <c r="B76" s="3"/>
      <c r="C76" s="3"/>
      <c r="D76" s="41"/>
      <c r="E76" s="41"/>
      <c r="F76" s="41"/>
      <c r="G76" s="41"/>
      <c r="H76" s="41"/>
      <c r="I76" s="61"/>
      <c r="J76" s="59"/>
      <c r="K76" s="4"/>
      <c r="L76" s="4"/>
    </row>
    <row r="77" spans="1:12" ht="18.5" x14ac:dyDescent="0.45">
      <c r="A77" s="3"/>
      <c r="B77" s="5"/>
      <c r="C77" s="5"/>
      <c r="D77" s="41"/>
      <c r="E77" s="41"/>
      <c r="F77" s="41"/>
      <c r="G77" s="41"/>
      <c r="H77" s="41"/>
      <c r="I77" s="61"/>
      <c r="J77" s="59"/>
      <c r="K77" s="4"/>
      <c r="L77" s="4"/>
    </row>
    <row r="78" spans="1:12" ht="18.5" x14ac:dyDescent="0.45">
      <c r="A78" s="3"/>
      <c r="B78" s="3"/>
      <c r="C78" s="3"/>
      <c r="D78" s="41"/>
      <c r="E78" s="41"/>
      <c r="F78" s="41"/>
      <c r="G78" s="41"/>
      <c r="H78" s="41"/>
      <c r="I78" s="61"/>
      <c r="J78" s="59"/>
      <c r="K78" s="4"/>
      <c r="L78" s="4"/>
    </row>
    <row r="79" spans="1:12" ht="18.5" x14ac:dyDescent="0.45">
      <c r="A79" s="3"/>
      <c r="B79" s="3"/>
      <c r="C79" s="3"/>
      <c r="D79" s="41"/>
      <c r="E79" s="41"/>
      <c r="F79" s="41"/>
      <c r="G79" s="41"/>
      <c r="H79" s="41"/>
      <c r="I79" s="62"/>
      <c r="J79" s="53"/>
      <c r="K79" s="3"/>
      <c r="L79" s="4"/>
    </row>
    <row r="80" spans="1:12" ht="18.5" x14ac:dyDescent="0.45">
      <c r="A80" s="3"/>
      <c r="B80" s="3"/>
      <c r="C80" s="3"/>
      <c r="D80" s="41"/>
      <c r="E80" s="41"/>
      <c r="F80" s="41"/>
      <c r="G80" s="41"/>
      <c r="H80" s="41"/>
      <c r="I80" s="62"/>
      <c r="J80" s="53"/>
      <c r="K80" s="3"/>
      <c r="L80" s="4"/>
    </row>
    <row r="81" spans="1:12" ht="18.5" x14ac:dyDescent="0.45">
      <c r="A81" s="3"/>
      <c r="B81" s="5"/>
      <c r="C81" s="5"/>
      <c r="D81" s="41"/>
      <c r="E81" s="41"/>
      <c r="F81" s="41"/>
      <c r="G81" s="41"/>
      <c r="H81" s="41"/>
      <c r="I81" s="62"/>
      <c r="J81" s="54"/>
      <c r="K81" s="3"/>
      <c r="L81" s="3"/>
    </row>
    <row r="82" spans="1:12" ht="18.5" x14ac:dyDescent="0.45">
      <c r="A82" s="3"/>
      <c r="B82" s="5"/>
      <c r="C82" s="5"/>
      <c r="D82" s="41"/>
      <c r="E82" s="41"/>
      <c r="F82" s="41"/>
      <c r="G82" s="41"/>
      <c r="H82" s="41"/>
      <c r="I82" s="63"/>
      <c r="J82" s="53"/>
      <c r="K82" s="3"/>
      <c r="L82" s="3"/>
    </row>
    <row r="83" spans="1:12" ht="18.5" x14ac:dyDescent="0.45">
      <c r="A83" s="43"/>
      <c r="B83" s="5"/>
      <c r="C83" s="5"/>
      <c r="D83" s="41"/>
      <c r="E83" s="41"/>
      <c r="F83" s="41"/>
      <c r="G83" s="41"/>
      <c r="H83" s="41"/>
      <c r="I83" s="63"/>
      <c r="J83" s="53"/>
      <c r="K83" s="3"/>
      <c r="L83" s="3"/>
    </row>
    <row r="84" spans="1:12" ht="18.5" x14ac:dyDescent="0.45">
      <c r="A84" s="3"/>
      <c r="B84" s="5"/>
      <c r="C84" s="5"/>
      <c r="D84" s="5"/>
      <c r="E84" s="5"/>
      <c r="F84" s="5"/>
      <c r="G84" s="5"/>
      <c r="H84" s="3"/>
      <c r="I84" s="63"/>
      <c r="J84" s="53"/>
      <c r="K84" s="3"/>
      <c r="L84" s="3"/>
    </row>
    <row r="85" spans="1:12" ht="18.5" x14ac:dyDescent="0.45">
      <c r="A85" s="4"/>
      <c r="B85" s="4"/>
      <c r="C85" s="4"/>
      <c r="D85" s="4"/>
      <c r="E85" s="4"/>
      <c r="F85" s="11"/>
      <c r="G85" s="4"/>
      <c r="H85" s="3"/>
      <c r="I85" s="63"/>
      <c r="J85" s="53"/>
      <c r="K85" s="4"/>
      <c r="L85" s="4"/>
    </row>
    <row r="86" spans="1:12" ht="18.5" x14ac:dyDescent="0.45">
      <c r="A86" s="4"/>
      <c r="B86" s="4"/>
      <c r="C86" s="4"/>
      <c r="D86" s="4"/>
      <c r="E86" s="4"/>
      <c r="F86" s="11"/>
      <c r="G86" s="4"/>
      <c r="H86" s="3"/>
      <c r="I86" s="63"/>
      <c r="J86" s="53"/>
      <c r="K86" s="4"/>
      <c r="L86" s="4"/>
    </row>
    <row r="87" spans="1:12" ht="18.5" x14ac:dyDescent="0.45">
      <c r="A87" s="4"/>
      <c r="B87" s="4"/>
      <c r="C87" s="4"/>
      <c r="D87" s="4"/>
      <c r="E87" s="4"/>
      <c r="F87" s="11"/>
      <c r="G87" s="4"/>
      <c r="H87" s="3"/>
      <c r="I87" s="63"/>
      <c r="J87" s="53"/>
      <c r="K87" s="4"/>
      <c r="L87" s="4"/>
    </row>
    <row r="88" spans="1:12" ht="18.5" x14ac:dyDescent="0.45">
      <c r="A88" s="4"/>
      <c r="B88" s="4"/>
      <c r="C88" s="4"/>
      <c r="D88" s="4"/>
      <c r="E88" s="4"/>
      <c r="F88" s="4"/>
      <c r="G88" s="4"/>
      <c r="H88" s="3"/>
      <c r="I88" s="63"/>
      <c r="J88" s="53"/>
      <c r="K88" s="4"/>
      <c r="L88" s="4"/>
    </row>
    <row r="89" spans="1:12" ht="18.5" x14ac:dyDescent="0.45">
      <c r="A89" s="4"/>
      <c r="B89" s="4"/>
      <c r="C89" s="4"/>
      <c r="D89" s="4"/>
      <c r="E89" s="4"/>
      <c r="F89" s="4"/>
      <c r="G89" s="4"/>
      <c r="H89" s="3"/>
      <c r="I89" s="63"/>
      <c r="J89" s="53"/>
      <c r="K89" s="4"/>
      <c r="L89" s="4"/>
    </row>
    <row r="90" spans="1:12" ht="18.5" x14ac:dyDescent="0.45">
      <c r="A90" s="4"/>
      <c r="B90" s="4"/>
      <c r="C90" s="4"/>
      <c r="D90" s="4"/>
      <c r="E90" s="4"/>
      <c r="F90" s="4"/>
      <c r="G90" s="4"/>
      <c r="H90" s="3"/>
      <c r="I90" s="63"/>
      <c r="J90" s="55"/>
      <c r="K90" s="4"/>
      <c r="L90" s="4"/>
    </row>
    <row r="91" spans="1:12" ht="18.5" x14ac:dyDescent="0.45">
      <c r="A91" s="4"/>
      <c r="B91" s="4"/>
      <c r="C91" s="4"/>
      <c r="D91" s="4"/>
      <c r="E91" s="4"/>
      <c r="F91" s="4"/>
      <c r="G91" s="4"/>
      <c r="H91" s="3"/>
      <c r="I91" s="63"/>
      <c r="J91" s="55"/>
      <c r="K91" s="4"/>
      <c r="L91" s="4"/>
    </row>
    <row r="92" spans="1:12" ht="18.5" x14ac:dyDescent="0.45">
      <c r="A92" s="4"/>
      <c r="B92" s="4"/>
      <c r="C92" s="4"/>
      <c r="D92" s="4"/>
      <c r="E92" s="4"/>
      <c r="F92" s="4"/>
      <c r="G92" s="4"/>
      <c r="H92" s="3"/>
      <c r="I92" s="63"/>
      <c r="J92" s="55"/>
      <c r="K92" s="4"/>
      <c r="L92" s="4"/>
    </row>
    <row r="93" spans="1:12" ht="18.5" x14ac:dyDescent="0.45">
      <c r="A93" s="4"/>
      <c r="B93" s="4"/>
      <c r="C93" s="4"/>
      <c r="D93" s="4"/>
      <c r="E93" s="4"/>
      <c r="F93" s="4"/>
      <c r="G93" s="4"/>
      <c r="H93" s="3"/>
      <c r="I93" s="63"/>
      <c r="J93" s="55"/>
      <c r="K93" s="4"/>
      <c r="L93" s="4"/>
    </row>
    <row r="94" spans="1:12" ht="18.5" x14ac:dyDescent="0.45">
      <c r="A94" s="4"/>
      <c r="B94" s="4"/>
      <c r="C94" s="4"/>
      <c r="D94" s="4"/>
      <c r="E94" s="4"/>
      <c r="F94" s="4"/>
      <c r="G94" s="4"/>
      <c r="H94" s="3"/>
      <c r="I94" s="63"/>
      <c r="J94" s="55"/>
      <c r="K94" s="4"/>
      <c r="L94" s="4"/>
    </row>
    <row r="95" spans="1:12" ht="18.5" x14ac:dyDescent="0.45">
      <c r="A95" s="4"/>
      <c r="B95" s="4"/>
      <c r="C95" s="4"/>
      <c r="D95" s="4"/>
      <c r="E95" s="4"/>
      <c r="F95" s="4"/>
      <c r="G95" s="4"/>
      <c r="H95" s="3"/>
      <c r="I95" s="63"/>
      <c r="J95" s="55"/>
      <c r="K95" s="4"/>
      <c r="L95" s="4"/>
    </row>
    <row r="96" spans="1:12" ht="18.5" x14ac:dyDescent="0.45">
      <c r="A96" s="4"/>
      <c r="B96" s="4"/>
      <c r="C96" s="4"/>
      <c r="D96" s="4"/>
      <c r="E96" s="4"/>
      <c r="F96" s="4"/>
      <c r="G96" s="4"/>
      <c r="H96" s="3"/>
      <c r="I96" s="63"/>
      <c r="J96" s="55"/>
      <c r="K96" s="4"/>
      <c r="L96" s="4"/>
    </row>
    <row r="97" spans="1:12" ht="18.5" x14ac:dyDescent="0.45">
      <c r="A97" s="4"/>
      <c r="B97" s="4"/>
      <c r="C97" s="4"/>
      <c r="D97" s="4"/>
      <c r="E97" s="4"/>
      <c r="F97" s="4"/>
      <c r="G97" s="4"/>
      <c r="H97" s="3"/>
      <c r="I97" s="63"/>
      <c r="J97" s="55"/>
      <c r="K97" s="4"/>
      <c r="L97" s="4"/>
    </row>
    <row r="98" spans="1:12" x14ac:dyDescent="0.35">
      <c r="A98" s="4"/>
      <c r="B98" s="4"/>
      <c r="C98" s="4"/>
      <c r="D98" s="4"/>
      <c r="E98" s="4"/>
      <c r="F98" s="4"/>
      <c r="G98" s="4"/>
      <c r="H98" s="69"/>
      <c r="I98" s="4"/>
      <c r="J98" s="55"/>
      <c r="K98" s="4"/>
      <c r="L98" s="4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5"/>
  <sheetViews>
    <sheetView topLeftCell="A58" workbookViewId="0">
      <selection activeCell="A69" sqref="A69:XFD69"/>
    </sheetView>
  </sheetViews>
  <sheetFormatPr defaultRowHeight="14.5" x14ac:dyDescent="0.35"/>
  <cols>
    <col min="1" max="1" width="51.26953125" bestFit="1" customWidth="1"/>
    <col min="2" max="2" width="15.7265625" bestFit="1" customWidth="1"/>
    <col min="3" max="3" width="18" bestFit="1" customWidth="1"/>
    <col min="4" max="4" width="11.7265625" bestFit="1" customWidth="1"/>
    <col min="5" max="7" width="11.26953125" bestFit="1" customWidth="1"/>
    <col min="8" max="8" width="19.26953125" bestFit="1" customWidth="1"/>
    <col min="9" max="9" width="18.7265625" bestFit="1" customWidth="1"/>
    <col min="10" max="10" width="15.26953125" bestFit="1" customWidth="1"/>
  </cols>
  <sheetData>
    <row r="2" spans="1:12" ht="18.75" x14ac:dyDescent="0.3">
      <c r="A2" s="3" t="s">
        <v>0</v>
      </c>
      <c r="B2" s="5">
        <v>7299917887</v>
      </c>
      <c r="C2" s="3"/>
      <c r="D2" s="5">
        <v>14500</v>
      </c>
      <c r="E2" s="3" t="s">
        <v>363</v>
      </c>
      <c r="F2" s="79">
        <v>14500</v>
      </c>
      <c r="G2" s="3" t="s">
        <v>2</v>
      </c>
      <c r="H2" s="64" t="s">
        <v>360</v>
      </c>
    </row>
    <row r="3" spans="1:12" ht="18.75" x14ac:dyDescent="0.3">
      <c r="A3" s="3" t="s">
        <v>7</v>
      </c>
      <c r="B3" s="3">
        <v>9840168557</v>
      </c>
      <c r="C3" s="3"/>
      <c r="D3" s="5">
        <v>3200</v>
      </c>
      <c r="E3" s="3" t="s">
        <v>396</v>
      </c>
      <c r="F3" s="80">
        <v>3200</v>
      </c>
      <c r="G3" s="3" t="s">
        <v>51</v>
      </c>
      <c r="H3" s="64">
        <v>7200</v>
      </c>
    </row>
    <row r="4" spans="1:12" ht="18.75" x14ac:dyDescent="0.3">
      <c r="A4" s="3" t="s">
        <v>293</v>
      </c>
      <c r="B4" s="3">
        <v>9500649518</v>
      </c>
      <c r="C4" s="3"/>
      <c r="D4" s="5">
        <v>2000</v>
      </c>
      <c r="E4" s="3" t="s">
        <v>367</v>
      </c>
      <c r="F4" s="80">
        <v>2000</v>
      </c>
      <c r="G4" s="3" t="s">
        <v>2</v>
      </c>
      <c r="H4" s="64" t="s">
        <v>376</v>
      </c>
      <c r="I4" s="91" t="s">
        <v>382</v>
      </c>
    </row>
    <row r="5" spans="1:12" ht="18.75" x14ac:dyDescent="0.3">
      <c r="A5" s="3" t="s">
        <v>36</v>
      </c>
      <c r="B5" s="3">
        <v>7904401435</v>
      </c>
      <c r="C5" s="3" t="s">
        <v>23</v>
      </c>
      <c r="D5" s="5">
        <v>1750</v>
      </c>
      <c r="E5" s="3"/>
      <c r="F5" s="80"/>
      <c r="G5" s="3"/>
      <c r="H5" s="65"/>
      <c r="I5" s="1"/>
    </row>
    <row r="6" spans="1:12" ht="18.75" x14ac:dyDescent="0.3">
      <c r="A6" s="8" t="s">
        <v>321</v>
      </c>
      <c r="B6" s="21">
        <v>9940388908</v>
      </c>
      <c r="C6" s="3" t="s">
        <v>44</v>
      </c>
      <c r="D6" s="13">
        <v>1500</v>
      </c>
      <c r="E6" s="3"/>
      <c r="F6" s="89" t="s">
        <v>346</v>
      </c>
      <c r="G6" s="3"/>
      <c r="H6" s="70" t="s">
        <v>366</v>
      </c>
    </row>
    <row r="7" spans="1:12" ht="18.75" x14ac:dyDescent="0.3">
      <c r="A7" s="8" t="s">
        <v>248</v>
      </c>
      <c r="B7" s="5">
        <v>7550283099</v>
      </c>
      <c r="C7" s="3" t="s">
        <v>44</v>
      </c>
      <c r="D7" s="58">
        <v>6850</v>
      </c>
      <c r="E7" s="3" t="s">
        <v>358</v>
      </c>
      <c r="F7" s="80">
        <v>6850</v>
      </c>
      <c r="G7" s="3" t="s">
        <v>2</v>
      </c>
      <c r="H7" s="64" t="s">
        <v>360</v>
      </c>
    </row>
    <row r="8" spans="1:12" ht="18.75" x14ac:dyDescent="0.3">
      <c r="A8" s="8" t="s">
        <v>248</v>
      </c>
      <c r="B8" s="5"/>
      <c r="C8" s="3"/>
      <c r="D8" s="58"/>
      <c r="E8" s="3" t="s">
        <v>402</v>
      </c>
      <c r="F8" s="80">
        <v>6850</v>
      </c>
      <c r="G8" s="3" t="s">
        <v>2</v>
      </c>
      <c r="H8" s="64" t="s">
        <v>401</v>
      </c>
    </row>
    <row r="9" spans="1:12" ht="18.75" x14ac:dyDescent="0.3">
      <c r="A9" s="3" t="s">
        <v>35</v>
      </c>
      <c r="B9" s="5">
        <v>9629111188</v>
      </c>
      <c r="C9" s="3" t="s">
        <v>41</v>
      </c>
      <c r="D9" s="5">
        <v>1500</v>
      </c>
      <c r="E9" s="3"/>
      <c r="F9" s="89" t="s">
        <v>346</v>
      </c>
      <c r="G9" s="3"/>
      <c r="H9" s="67" t="s">
        <v>372</v>
      </c>
    </row>
    <row r="10" spans="1:12" ht="18.75" x14ac:dyDescent="0.3">
      <c r="A10" s="8" t="s">
        <v>45</v>
      </c>
      <c r="B10" s="5">
        <v>7904622354</v>
      </c>
      <c r="C10" s="3" t="s">
        <v>46</v>
      </c>
      <c r="D10" s="5">
        <v>3200</v>
      </c>
      <c r="E10" s="3"/>
      <c r="F10" s="80"/>
      <c r="G10" s="3"/>
      <c r="H10" s="64" t="s">
        <v>365</v>
      </c>
      <c r="I10" s="3"/>
    </row>
    <row r="11" spans="1:12" ht="18.75" x14ac:dyDescent="0.3">
      <c r="A11" s="3" t="s">
        <v>60</v>
      </c>
      <c r="B11" s="5">
        <v>8925124442</v>
      </c>
      <c r="C11" s="3"/>
      <c r="D11" s="5">
        <v>3500</v>
      </c>
      <c r="E11" s="3"/>
      <c r="F11" s="80"/>
      <c r="G11" s="3"/>
      <c r="H11" s="64"/>
      <c r="J11" s="51"/>
      <c r="K11" s="51"/>
      <c r="L11" s="51"/>
    </row>
    <row r="12" spans="1:12" ht="18.75" x14ac:dyDescent="0.3">
      <c r="A12" s="3" t="s">
        <v>113</v>
      </c>
      <c r="B12" s="5">
        <v>8148141825</v>
      </c>
      <c r="C12" s="3" t="s">
        <v>106</v>
      </c>
      <c r="D12" s="48">
        <v>1600</v>
      </c>
      <c r="E12" s="74"/>
      <c r="F12" s="80"/>
      <c r="G12" s="3"/>
      <c r="H12" s="66"/>
    </row>
    <row r="13" spans="1:12" ht="18.75" x14ac:dyDescent="0.3">
      <c r="A13" s="3" t="s">
        <v>223</v>
      </c>
      <c r="B13" s="5">
        <v>8148141825</v>
      </c>
      <c r="C13" s="3" t="s">
        <v>129</v>
      </c>
      <c r="D13" s="48">
        <v>1600</v>
      </c>
      <c r="E13" s="74" t="s">
        <v>390</v>
      </c>
      <c r="F13" s="80"/>
      <c r="G13" s="3" t="s">
        <v>51</v>
      </c>
      <c r="H13" s="86"/>
    </row>
    <row r="14" spans="1:12" ht="18.75" x14ac:dyDescent="0.3">
      <c r="A14" s="3" t="s">
        <v>132</v>
      </c>
      <c r="B14" s="5">
        <v>6369398270</v>
      </c>
      <c r="C14" s="3" t="s">
        <v>130</v>
      </c>
      <c r="D14" s="5">
        <v>1500</v>
      </c>
      <c r="E14" s="3" t="s">
        <v>356</v>
      </c>
      <c r="F14" s="80">
        <v>2000</v>
      </c>
      <c r="G14" s="3" t="s">
        <v>157</v>
      </c>
      <c r="H14" s="64"/>
      <c r="I14" s="90"/>
    </row>
    <row r="15" spans="1:12" ht="18.75" x14ac:dyDescent="0.3">
      <c r="A15" s="3" t="s">
        <v>160</v>
      </c>
      <c r="B15" s="5">
        <v>8825663180</v>
      </c>
      <c r="C15" s="3" t="s">
        <v>161</v>
      </c>
      <c r="D15" s="5">
        <v>1750</v>
      </c>
      <c r="E15" s="3" t="s">
        <v>384</v>
      </c>
      <c r="F15" s="80">
        <v>1750</v>
      </c>
      <c r="G15" s="3" t="s">
        <v>157</v>
      </c>
      <c r="H15" s="64"/>
    </row>
    <row r="16" spans="1:12" ht="18.75" x14ac:dyDescent="0.3">
      <c r="A16" s="3" t="s">
        <v>165</v>
      </c>
      <c r="B16" s="5">
        <v>9962842598</v>
      </c>
      <c r="C16" s="3" t="s">
        <v>164</v>
      </c>
      <c r="D16" s="5">
        <v>2000</v>
      </c>
      <c r="E16" s="3"/>
      <c r="F16" s="80"/>
      <c r="G16" s="3"/>
      <c r="H16" s="64" t="s">
        <v>404</v>
      </c>
    </row>
    <row r="17" spans="1:8" ht="18.75" x14ac:dyDescent="0.3">
      <c r="A17" s="3" t="s">
        <v>185</v>
      </c>
      <c r="B17" s="5">
        <v>8428000331</v>
      </c>
      <c r="C17" s="3" t="s">
        <v>184</v>
      </c>
      <c r="D17" s="48" t="s">
        <v>398</v>
      </c>
      <c r="E17" s="3"/>
      <c r="F17" s="80">
        <v>6400</v>
      </c>
      <c r="G17" s="3" t="s">
        <v>51</v>
      </c>
      <c r="H17" s="72"/>
    </row>
    <row r="18" spans="1:8" ht="18.75" x14ac:dyDescent="0.3">
      <c r="A18" s="3" t="s">
        <v>185</v>
      </c>
      <c r="B18" s="5"/>
      <c r="C18" s="3" t="s">
        <v>270</v>
      </c>
      <c r="D18" s="48" t="s">
        <v>400</v>
      </c>
      <c r="E18" s="3"/>
      <c r="F18" s="80"/>
      <c r="G18" s="3"/>
      <c r="H18" s="72"/>
    </row>
    <row r="19" spans="1:8" ht="18.75" x14ac:dyDescent="0.3">
      <c r="A19" s="3"/>
      <c r="B19" s="5"/>
      <c r="C19" s="3" t="s">
        <v>355</v>
      </c>
      <c r="D19" s="48" t="s">
        <v>403</v>
      </c>
      <c r="E19" s="3"/>
      <c r="F19" s="80"/>
      <c r="G19" s="3"/>
      <c r="H19" s="72"/>
    </row>
    <row r="20" spans="1:8" ht="18.75" x14ac:dyDescent="0.3">
      <c r="A20" s="3"/>
      <c r="B20" s="5"/>
      <c r="C20" s="3" t="s">
        <v>399</v>
      </c>
      <c r="D20" s="48" t="s">
        <v>400</v>
      </c>
      <c r="E20" s="3"/>
      <c r="F20" s="80"/>
      <c r="G20" s="3"/>
      <c r="H20" s="72"/>
    </row>
    <row r="21" spans="1:8" ht="18.75" x14ac:dyDescent="0.3">
      <c r="A21" s="3" t="s">
        <v>194</v>
      </c>
      <c r="B21" s="5">
        <v>9941351728</v>
      </c>
      <c r="C21" s="3" t="s">
        <v>195</v>
      </c>
      <c r="D21" s="5">
        <v>3500</v>
      </c>
      <c r="E21" s="3" t="s">
        <v>338</v>
      </c>
      <c r="F21" s="80">
        <v>3500</v>
      </c>
      <c r="G21" s="3" t="s">
        <v>157</v>
      </c>
      <c r="H21" s="64"/>
    </row>
    <row r="22" spans="1:8" ht="18.75" x14ac:dyDescent="0.3">
      <c r="A22" s="3" t="s">
        <v>7</v>
      </c>
      <c r="B22" s="5">
        <v>9840168557</v>
      </c>
      <c r="C22" s="3" t="s">
        <v>208</v>
      </c>
      <c r="D22" s="5">
        <v>4000</v>
      </c>
      <c r="E22" s="3" t="s">
        <v>396</v>
      </c>
      <c r="F22" s="80">
        <v>4000</v>
      </c>
      <c r="G22" s="3" t="s">
        <v>51</v>
      </c>
      <c r="H22" s="64"/>
    </row>
    <row r="23" spans="1:8" ht="18.75" x14ac:dyDescent="0.3">
      <c r="A23" s="3" t="s">
        <v>241</v>
      </c>
      <c r="B23" s="5">
        <v>8939538396</v>
      </c>
      <c r="C23" s="3" t="s">
        <v>242</v>
      </c>
      <c r="D23" s="5">
        <v>4500</v>
      </c>
      <c r="E23" s="3"/>
      <c r="F23" s="80"/>
      <c r="G23" s="3"/>
      <c r="H23" s="66" t="s">
        <v>375</v>
      </c>
    </row>
    <row r="24" spans="1:8" ht="18.75" x14ac:dyDescent="0.3">
      <c r="A24" s="3" t="s">
        <v>266</v>
      </c>
      <c r="B24" s="5">
        <v>6385458304</v>
      </c>
      <c r="C24" s="3" t="s">
        <v>259</v>
      </c>
      <c r="D24" s="5">
        <v>2200</v>
      </c>
      <c r="E24" s="3" t="s">
        <v>390</v>
      </c>
      <c r="F24" s="80">
        <v>2200</v>
      </c>
      <c r="G24" s="3" t="s">
        <v>51</v>
      </c>
      <c r="H24" s="66"/>
    </row>
    <row r="25" spans="1:8" ht="18.75" x14ac:dyDescent="0.3">
      <c r="A25" s="3" t="s">
        <v>268</v>
      </c>
      <c r="B25" s="5">
        <v>9345845341</v>
      </c>
      <c r="C25" s="3" t="s">
        <v>265</v>
      </c>
      <c r="D25" s="5">
        <v>2000</v>
      </c>
      <c r="E25" s="3" t="s">
        <v>338</v>
      </c>
      <c r="F25" s="80">
        <v>2000</v>
      </c>
      <c r="G25" s="3" t="s">
        <v>157</v>
      </c>
      <c r="H25" s="66" t="s">
        <v>360</v>
      </c>
    </row>
    <row r="26" spans="1:8" ht="18.75" x14ac:dyDescent="0.3">
      <c r="A26" s="3" t="s">
        <v>269</v>
      </c>
      <c r="B26" s="5">
        <v>9080506121</v>
      </c>
      <c r="C26" s="3" t="s">
        <v>270</v>
      </c>
      <c r="D26" s="5">
        <v>2300</v>
      </c>
      <c r="E26" s="3" t="s">
        <v>338</v>
      </c>
      <c r="F26" s="80">
        <v>2300</v>
      </c>
      <c r="G26" s="3" t="s">
        <v>157</v>
      </c>
      <c r="H26" s="66" t="s">
        <v>360</v>
      </c>
    </row>
    <row r="27" spans="1:8" ht="18.75" x14ac:dyDescent="0.3">
      <c r="A27" s="3" t="s">
        <v>285</v>
      </c>
      <c r="B27" s="5">
        <v>9791050538</v>
      </c>
      <c r="C27" s="3" t="s">
        <v>279</v>
      </c>
      <c r="D27" s="5">
        <v>3400</v>
      </c>
      <c r="E27" s="3" t="s">
        <v>348</v>
      </c>
      <c r="F27" s="80">
        <v>3400</v>
      </c>
      <c r="G27" s="3" t="s">
        <v>47</v>
      </c>
      <c r="H27" s="71"/>
    </row>
    <row r="28" spans="1:8" ht="18.75" x14ac:dyDescent="0.3">
      <c r="A28" s="3" t="s">
        <v>306</v>
      </c>
      <c r="B28" s="5">
        <v>9791101009</v>
      </c>
      <c r="C28" s="3" t="s">
        <v>307</v>
      </c>
      <c r="D28" s="5">
        <v>1500</v>
      </c>
      <c r="E28" s="3" t="s">
        <v>379</v>
      </c>
      <c r="F28" s="80">
        <v>1500</v>
      </c>
      <c r="G28" s="3" t="s">
        <v>51</v>
      </c>
      <c r="H28" s="66"/>
    </row>
    <row r="29" spans="1:8" ht="18.75" x14ac:dyDescent="0.3">
      <c r="A29" s="3" t="s">
        <v>313</v>
      </c>
      <c r="B29" s="5">
        <v>8929406143</v>
      </c>
      <c r="C29" s="3" t="s">
        <v>311</v>
      </c>
      <c r="D29" s="5">
        <v>4700</v>
      </c>
      <c r="E29" s="3" t="s">
        <v>379</v>
      </c>
      <c r="F29" s="80">
        <v>4000</v>
      </c>
      <c r="G29" s="3" t="s">
        <v>51</v>
      </c>
      <c r="H29" s="66"/>
    </row>
    <row r="30" spans="1:8" ht="18.75" x14ac:dyDescent="0.3">
      <c r="A30" s="3" t="s">
        <v>319</v>
      </c>
      <c r="B30" s="5"/>
      <c r="C30" s="3" t="s">
        <v>294</v>
      </c>
      <c r="D30" s="5"/>
      <c r="E30" s="3" t="s">
        <v>390</v>
      </c>
      <c r="F30" s="80">
        <v>14700</v>
      </c>
      <c r="G30" s="3" t="s">
        <v>51</v>
      </c>
      <c r="H30" s="72">
        <v>14700</v>
      </c>
    </row>
    <row r="31" spans="1:8" ht="18.75" x14ac:dyDescent="0.3">
      <c r="A31" s="3" t="s">
        <v>330</v>
      </c>
      <c r="B31" s="5">
        <v>9884664943</v>
      </c>
      <c r="C31" s="3" t="s">
        <v>329</v>
      </c>
      <c r="D31" s="5">
        <v>2000</v>
      </c>
      <c r="E31" s="3" t="s">
        <v>329</v>
      </c>
      <c r="F31" s="80">
        <v>2000</v>
      </c>
      <c r="G31" s="3" t="s">
        <v>51</v>
      </c>
      <c r="H31" s="64"/>
    </row>
    <row r="32" spans="1:8" ht="18.75" x14ac:dyDescent="0.3">
      <c r="A32" s="3" t="s">
        <v>343</v>
      </c>
      <c r="B32" s="5">
        <v>9940440423</v>
      </c>
      <c r="C32" s="3" t="s">
        <v>337</v>
      </c>
      <c r="D32" s="5">
        <v>1800</v>
      </c>
      <c r="E32" s="3" t="s">
        <v>337</v>
      </c>
      <c r="F32" s="80">
        <v>2000</v>
      </c>
      <c r="G32" s="3" t="s">
        <v>157</v>
      </c>
      <c r="H32" s="64"/>
    </row>
    <row r="33" spans="1:8" ht="18.75" x14ac:dyDescent="0.3">
      <c r="A33" s="3" t="s">
        <v>349</v>
      </c>
      <c r="B33" s="5"/>
      <c r="C33" s="3" t="s">
        <v>353</v>
      </c>
      <c r="D33" s="5">
        <v>2300</v>
      </c>
      <c r="E33" s="3" t="s">
        <v>350</v>
      </c>
      <c r="F33" s="80">
        <v>2300</v>
      </c>
      <c r="G33" s="3" t="s">
        <v>157</v>
      </c>
      <c r="H33" s="64"/>
    </row>
    <row r="34" spans="1:8" ht="18.75" x14ac:dyDescent="0.3">
      <c r="A34" s="3" t="s">
        <v>374</v>
      </c>
      <c r="B34" s="5">
        <v>7338700557</v>
      </c>
      <c r="C34" s="3" t="s">
        <v>351</v>
      </c>
      <c r="D34" s="5">
        <v>4500</v>
      </c>
      <c r="E34" s="3" t="s">
        <v>351</v>
      </c>
      <c r="F34" s="80">
        <v>4500</v>
      </c>
      <c r="G34" s="3" t="s">
        <v>157</v>
      </c>
      <c r="H34" s="64"/>
    </row>
    <row r="35" spans="1:8" ht="18.75" x14ac:dyDescent="0.3">
      <c r="A35" s="3" t="s">
        <v>352</v>
      </c>
      <c r="B35" s="5">
        <v>9042515894</v>
      </c>
      <c r="C35" s="3" t="s">
        <v>353</v>
      </c>
      <c r="D35" s="5">
        <v>4000</v>
      </c>
      <c r="E35" s="3" t="s">
        <v>353</v>
      </c>
      <c r="F35" s="80">
        <v>4200</v>
      </c>
      <c r="G35" s="3" t="s">
        <v>157</v>
      </c>
      <c r="H35" s="64"/>
    </row>
    <row r="36" spans="1:8" ht="18.75" x14ac:dyDescent="0.3">
      <c r="A36" s="3" t="s">
        <v>354</v>
      </c>
      <c r="B36" s="5">
        <v>6382501514</v>
      </c>
      <c r="C36" s="3" t="s">
        <v>353</v>
      </c>
      <c r="D36" s="5">
        <v>2000</v>
      </c>
      <c r="E36" s="3" t="s">
        <v>353</v>
      </c>
      <c r="F36" s="80">
        <v>2000</v>
      </c>
      <c r="G36" s="3" t="s">
        <v>157</v>
      </c>
      <c r="H36" s="64"/>
    </row>
    <row r="37" spans="1:8" ht="18.75" x14ac:dyDescent="0.3">
      <c r="A37" s="3" t="s">
        <v>357</v>
      </c>
      <c r="B37" s="5">
        <v>9940199236</v>
      </c>
      <c r="C37" s="3" t="s">
        <v>358</v>
      </c>
      <c r="D37" s="5">
        <v>1500</v>
      </c>
      <c r="E37" s="3" t="s">
        <v>358</v>
      </c>
      <c r="F37" s="80">
        <v>1700</v>
      </c>
      <c r="G37" s="3" t="s">
        <v>359</v>
      </c>
      <c r="H37" s="64" t="s">
        <v>178</v>
      </c>
    </row>
    <row r="38" spans="1:8" ht="18.75" x14ac:dyDescent="0.3">
      <c r="A38" s="3" t="s">
        <v>362</v>
      </c>
      <c r="B38" s="5">
        <v>9791273244</v>
      </c>
      <c r="C38" s="3" t="s">
        <v>358</v>
      </c>
      <c r="D38" s="5">
        <v>1800</v>
      </c>
      <c r="E38" s="3" t="s">
        <v>358</v>
      </c>
      <c r="F38" s="80">
        <v>1800</v>
      </c>
      <c r="G38" s="3" t="s">
        <v>359</v>
      </c>
      <c r="H38" s="64"/>
    </row>
    <row r="39" spans="1:8" ht="18.75" x14ac:dyDescent="0.3">
      <c r="A39" s="3" t="s">
        <v>175</v>
      </c>
      <c r="B39" s="5">
        <v>9080260674</v>
      </c>
      <c r="C39" s="3" t="s">
        <v>176</v>
      </c>
      <c r="D39" s="5">
        <v>2000</v>
      </c>
      <c r="E39" s="3" t="s">
        <v>363</v>
      </c>
      <c r="F39" s="83">
        <v>2000</v>
      </c>
      <c r="G39" s="3" t="s">
        <v>2</v>
      </c>
      <c r="H39" s="85" t="s">
        <v>364</v>
      </c>
    </row>
    <row r="40" spans="1:8" ht="18.75" x14ac:dyDescent="0.3">
      <c r="A40" s="3" t="s">
        <v>368</v>
      </c>
      <c r="B40" s="5">
        <v>9025686469</v>
      </c>
      <c r="C40" s="3" t="s">
        <v>367</v>
      </c>
      <c r="D40" s="5">
        <v>700</v>
      </c>
      <c r="E40" s="3" t="s">
        <v>367</v>
      </c>
      <c r="F40" s="80">
        <v>700</v>
      </c>
      <c r="G40" s="3" t="s">
        <v>51</v>
      </c>
      <c r="H40" s="64"/>
    </row>
    <row r="41" spans="1:8" ht="18.75" x14ac:dyDescent="0.3">
      <c r="A41" s="3" t="s">
        <v>369</v>
      </c>
      <c r="B41" s="5">
        <v>9940053942</v>
      </c>
      <c r="C41" s="3" t="s">
        <v>373</v>
      </c>
      <c r="D41" s="5">
        <v>2000</v>
      </c>
      <c r="E41" s="3" t="s">
        <v>373</v>
      </c>
      <c r="F41" s="80">
        <v>2200</v>
      </c>
      <c r="G41" s="3" t="s">
        <v>47</v>
      </c>
      <c r="H41" s="64"/>
    </row>
    <row r="42" spans="1:8" ht="18.75" x14ac:dyDescent="0.3">
      <c r="A42" s="3" t="s">
        <v>370</v>
      </c>
      <c r="B42" s="5">
        <v>9400904091</v>
      </c>
      <c r="C42" s="3" t="s">
        <v>373</v>
      </c>
      <c r="D42" s="5">
        <v>3500</v>
      </c>
      <c r="E42" s="3" t="s">
        <v>373</v>
      </c>
      <c r="F42" s="80">
        <v>18750</v>
      </c>
      <c r="G42" s="3" t="s">
        <v>51</v>
      </c>
      <c r="H42" s="64" t="s">
        <v>371</v>
      </c>
    </row>
    <row r="43" spans="1:8" ht="18.75" x14ac:dyDescent="0.3">
      <c r="A43" s="3" t="s">
        <v>380</v>
      </c>
      <c r="B43" s="5">
        <v>9786023320</v>
      </c>
      <c r="C43" s="3" t="s">
        <v>379</v>
      </c>
      <c r="D43" s="5" t="s">
        <v>424</v>
      </c>
      <c r="E43" s="3" t="s">
        <v>379</v>
      </c>
      <c r="F43" s="80">
        <v>18250</v>
      </c>
      <c r="G43" s="3" t="s">
        <v>51</v>
      </c>
      <c r="H43" s="64"/>
    </row>
    <row r="44" spans="1:8" ht="18.75" x14ac:dyDescent="0.3">
      <c r="A44" s="3" t="s">
        <v>381</v>
      </c>
      <c r="B44" s="5">
        <v>6384064584</v>
      </c>
      <c r="C44" s="3" t="s">
        <v>379</v>
      </c>
      <c r="D44" s="5">
        <v>2000</v>
      </c>
      <c r="E44" s="3" t="s">
        <v>379</v>
      </c>
      <c r="F44" s="80">
        <v>2200</v>
      </c>
      <c r="G44" s="3" t="s">
        <v>51</v>
      </c>
      <c r="H44" s="64"/>
    </row>
    <row r="45" spans="1:8" ht="18.75" x14ac:dyDescent="0.3">
      <c r="A45" s="3" t="s">
        <v>391</v>
      </c>
      <c r="B45" s="5">
        <v>9032291673</v>
      </c>
      <c r="C45" s="3" t="s">
        <v>389</v>
      </c>
      <c r="D45" s="5">
        <v>2000</v>
      </c>
      <c r="E45" s="3" t="s">
        <v>389</v>
      </c>
      <c r="F45" s="80">
        <v>2200</v>
      </c>
      <c r="G45" s="3" t="s">
        <v>157</v>
      </c>
      <c r="H45" s="64"/>
    </row>
    <row r="46" spans="1:8" ht="18.75" x14ac:dyDescent="0.3">
      <c r="A46" s="3" t="s">
        <v>392</v>
      </c>
      <c r="B46" s="5">
        <v>6374733492</v>
      </c>
      <c r="C46" s="3" t="s">
        <v>389</v>
      </c>
      <c r="D46" s="5">
        <v>5000</v>
      </c>
      <c r="E46" s="3" t="s">
        <v>389</v>
      </c>
      <c r="F46" s="80">
        <v>10300</v>
      </c>
      <c r="G46" s="3" t="s">
        <v>51</v>
      </c>
      <c r="H46" s="64"/>
    </row>
    <row r="47" spans="1:8" ht="18.75" x14ac:dyDescent="0.3">
      <c r="A47" s="3" t="s">
        <v>393</v>
      </c>
      <c r="B47" s="5"/>
      <c r="C47" s="3" t="s">
        <v>394</v>
      </c>
      <c r="D47" s="5"/>
      <c r="E47" s="3" t="s">
        <v>394</v>
      </c>
      <c r="F47" s="80">
        <v>38000</v>
      </c>
      <c r="G47" s="3" t="s">
        <v>47</v>
      </c>
      <c r="H47" s="64"/>
    </row>
    <row r="48" spans="1:8" ht="18.75" x14ac:dyDescent="0.3">
      <c r="A48" s="3" t="s">
        <v>395</v>
      </c>
      <c r="B48" s="5"/>
      <c r="C48" s="3" t="s">
        <v>390</v>
      </c>
      <c r="D48" s="5">
        <v>2500</v>
      </c>
      <c r="E48" s="3" t="s">
        <v>390</v>
      </c>
      <c r="F48" s="80">
        <v>2500</v>
      </c>
      <c r="G48" s="3" t="s">
        <v>2</v>
      </c>
      <c r="H48" s="64"/>
    </row>
    <row r="49" spans="1:12" ht="18.75" x14ac:dyDescent="0.3">
      <c r="A49" s="3" t="s">
        <v>386</v>
      </c>
      <c r="B49" s="5">
        <v>8870042240</v>
      </c>
      <c r="C49" s="3" t="s">
        <v>399</v>
      </c>
      <c r="D49" s="5">
        <v>4000</v>
      </c>
      <c r="E49" s="3" t="s">
        <v>399</v>
      </c>
      <c r="F49" s="80">
        <v>4000</v>
      </c>
      <c r="G49" s="3" t="s">
        <v>177</v>
      </c>
      <c r="H49" s="64" t="s">
        <v>178</v>
      </c>
    </row>
    <row r="50" spans="1:12" ht="18.75" x14ac:dyDescent="0.3">
      <c r="A50" s="3" t="s">
        <v>407</v>
      </c>
      <c r="B50" s="5">
        <v>9841477377</v>
      </c>
      <c r="C50" s="3" t="s">
        <v>408</v>
      </c>
      <c r="D50" s="5">
        <v>1750</v>
      </c>
      <c r="E50" s="3" t="s">
        <v>408</v>
      </c>
      <c r="F50" s="80">
        <v>1750</v>
      </c>
      <c r="G50" s="3" t="s">
        <v>51</v>
      </c>
      <c r="H50" s="64"/>
    </row>
    <row r="51" spans="1:12" ht="18.75" x14ac:dyDescent="0.3">
      <c r="A51" s="3" t="s">
        <v>418</v>
      </c>
      <c r="B51" s="5">
        <v>9360502638</v>
      </c>
      <c r="C51" s="3" t="s">
        <v>402</v>
      </c>
      <c r="D51" s="5">
        <v>2500</v>
      </c>
      <c r="E51" s="3" t="s">
        <v>402</v>
      </c>
      <c r="F51" s="80">
        <v>2500</v>
      </c>
      <c r="G51" s="3" t="s">
        <v>47</v>
      </c>
      <c r="H51" s="64"/>
    </row>
    <row r="52" spans="1:12" ht="18.75" x14ac:dyDescent="0.3">
      <c r="A52" s="3" t="s">
        <v>471</v>
      </c>
      <c r="B52" s="5"/>
      <c r="C52" s="3" t="s">
        <v>339</v>
      </c>
      <c r="D52" s="5">
        <v>1800</v>
      </c>
      <c r="E52" s="3"/>
      <c r="F52" s="80">
        <v>3600</v>
      </c>
      <c r="G52" s="3" t="s">
        <v>2</v>
      </c>
      <c r="H52" s="64"/>
    </row>
    <row r="53" spans="1:12" ht="18.75" x14ac:dyDescent="0.3">
      <c r="A53" s="3"/>
      <c r="B53" s="5"/>
      <c r="C53" s="3"/>
      <c r="D53" s="5"/>
      <c r="E53" s="3"/>
      <c r="F53" s="80"/>
      <c r="G53" s="3"/>
      <c r="H53" s="64"/>
    </row>
    <row r="54" spans="1:12" ht="18.75" x14ac:dyDescent="0.3">
      <c r="A54" s="3"/>
      <c r="B54" s="5"/>
      <c r="C54" s="3"/>
      <c r="D54" s="5"/>
      <c r="E54" s="3"/>
      <c r="F54" s="80"/>
      <c r="G54" s="3"/>
      <c r="H54" s="64"/>
    </row>
    <row r="55" spans="1:12" ht="18.75" x14ac:dyDescent="0.3">
      <c r="A55" s="3"/>
      <c r="B55" s="5"/>
      <c r="C55" s="3"/>
      <c r="D55" s="5"/>
      <c r="E55" s="3"/>
      <c r="F55" s="80"/>
      <c r="G55" s="3"/>
      <c r="H55" s="64"/>
    </row>
    <row r="56" spans="1:12" ht="18.75" x14ac:dyDescent="0.3">
      <c r="A56" s="3"/>
      <c r="B56" s="5"/>
      <c r="C56" s="3"/>
      <c r="D56" s="5"/>
      <c r="E56" s="3"/>
      <c r="F56" s="80"/>
      <c r="G56" s="3"/>
      <c r="H56" s="64"/>
    </row>
    <row r="57" spans="1:12" ht="15" x14ac:dyDescent="0.25">
      <c r="F57" s="18"/>
      <c r="H57" s="64"/>
    </row>
    <row r="58" spans="1:12" ht="15" x14ac:dyDescent="0.25">
      <c r="F58" s="18"/>
      <c r="H58" s="64"/>
    </row>
    <row r="59" spans="1:12" ht="15" x14ac:dyDescent="0.25">
      <c r="F59" s="18"/>
      <c r="H59" s="64"/>
    </row>
    <row r="60" spans="1:12" ht="15" x14ac:dyDescent="0.25">
      <c r="C60" s="20" t="s">
        <v>66</v>
      </c>
      <c r="D60" s="20"/>
      <c r="F60" s="18"/>
      <c r="H60" s="64"/>
    </row>
    <row r="61" spans="1:12" ht="15" x14ac:dyDescent="0.25">
      <c r="D61" s="19"/>
      <c r="E61" s="19"/>
      <c r="F61" s="19"/>
      <c r="G61" s="19"/>
      <c r="H61" s="64"/>
    </row>
    <row r="62" spans="1:12" ht="15" x14ac:dyDescent="0.25">
      <c r="A62" s="4"/>
      <c r="B62" s="4"/>
      <c r="C62" s="40" t="s">
        <v>88</v>
      </c>
      <c r="D62" s="40" t="s">
        <v>82</v>
      </c>
      <c r="E62" s="40" t="s">
        <v>89</v>
      </c>
      <c r="F62" s="40" t="s">
        <v>69</v>
      </c>
      <c r="G62" s="40" t="s">
        <v>69</v>
      </c>
      <c r="H62" s="68" t="s">
        <v>84</v>
      </c>
      <c r="I62" s="40" t="s">
        <v>189</v>
      </c>
      <c r="J62" s="52"/>
      <c r="K62" s="4"/>
      <c r="L62" s="4"/>
    </row>
    <row r="63" spans="1:12" ht="18.75" x14ac:dyDescent="0.3">
      <c r="A63" s="3" t="s">
        <v>187</v>
      </c>
      <c r="B63" s="3"/>
      <c r="C63" s="5" t="s">
        <v>337</v>
      </c>
      <c r="D63" s="41">
        <v>66</v>
      </c>
      <c r="E63" s="41">
        <v>25600</v>
      </c>
      <c r="F63" s="41">
        <v>2304</v>
      </c>
      <c r="G63" s="41">
        <v>2304</v>
      </c>
      <c r="H63" s="41">
        <v>30208</v>
      </c>
      <c r="I63" s="52" t="s">
        <v>190</v>
      </c>
      <c r="J63" s="52" t="s">
        <v>620</v>
      </c>
      <c r="K63" s="4"/>
      <c r="L63" s="4"/>
    </row>
    <row r="64" spans="1:12" ht="18.75" x14ac:dyDescent="0.3">
      <c r="A64" s="3" t="s">
        <v>340</v>
      </c>
      <c r="B64" s="3">
        <v>8939220746</v>
      </c>
      <c r="C64" s="5" t="s">
        <v>337</v>
      </c>
      <c r="D64" s="41">
        <v>67</v>
      </c>
      <c r="E64" s="41">
        <v>2550</v>
      </c>
      <c r="F64" s="41">
        <v>229.5</v>
      </c>
      <c r="G64" s="41">
        <v>229.5</v>
      </c>
      <c r="H64" s="41">
        <v>3009</v>
      </c>
      <c r="I64" s="52"/>
      <c r="J64" s="52" t="s">
        <v>477</v>
      </c>
      <c r="K64" s="4" t="s">
        <v>6</v>
      </c>
      <c r="L64" s="4"/>
    </row>
    <row r="65" spans="1:12" ht="18.75" x14ac:dyDescent="0.3">
      <c r="A65" s="3" t="s">
        <v>341</v>
      </c>
      <c r="B65" s="5">
        <v>9840439660</v>
      </c>
      <c r="C65" s="5" t="s">
        <v>337</v>
      </c>
      <c r="D65" s="41">
        <v>68</v>
      </c>
      <c r="E65" s="41">
        <v>8737</v>
      </c>
      <c r="F65" s="41">
        <v>786.33</v>
      </c>
      <c r="G65" s="41">
        <v>786.33</v>
      </c>
      <c r="H65" s="41">
        <v>10309.66</v>
      </c>
      <c r="I65" s="52" t="s">
        <v>191</v>
      </c>
      <c r="J65" s="52" t="s">
        <v>444</v>
      </c>
      <c r="K65" s="4"/>
      <c r="L65" s="4"/>
    </row>
    <row r="66" spans="1:12" ht="18.75" x14ac:dyDescent="0.3">
      <c r="A66" s="3" t="s">
        <v>201</v>
      </c>
      <c r="B66" s="3">
        <v>8939848531</v>
      </c>
      <c r="C66" s="5" t="s">
        <v>337</v>
      </c>
      <c r="D66" s="41">
        <v>69</v>
      </c>
      <c r="E66" s="41">
        <v>14500</v>
      </c>
      <c r="F66" s="41">
        <v>1305</v>
      </c>
      <c r="G66" s="41">
        <v>1305</v>
      </c>
      <c r="H66" s="41">
        <v>17110</v>
      </c>
      <c r="I66" s="52" t="s">
        <v>211</v>
      </c>
      <c r="J66" s="52" t="s">
        <v>348</v>
      </c>
      <c r="K66" s="11">
        <v>16254</v>
      </c>
      <c r="L66" s="4"/>
    </row>
    <row r="67" spans="1:12" ht="18.75" x14ac:dyDescent="0.3">
      <c r="A67" s="3" t="s">
        <v>342</v>
      </c>
      <c r="B67" s="5">
        <v>9578312546</v>
      </c>
      <c r="C67" s="5" t="s">
        <v>338</v>
      </c>
      <c r="D67" s="41">
        <v>70</v>
      </c>
      <c r="E67" s="41">
        <v>1800</v>
      </c>
      <c r="F67" s="41">
        <v>162</v>
      </c>
      <c r="G67" s="41">
        <v>162</v>
      </c>
      <c r="H67" s="41">
        <v>2124</v>
      </c>
      <c r="I67" s="52" t="s">
        <v>214</v>
      </c>
      <c r="J67" s="52" t="s">
        <v>337</v>
      </c>
      <c r="K67" s="11">
        <v>2088</v>
      </c>
      <c r="L67" s="4"/>
    </row>
    <row r="68" spans="1:12" ht="18.75" x14ac:dyDescent="0.3">
      <c r="A68" s="3" t="s">
        <v>326</v>
      </c>
      <c r="B68" s="5">
        <v>8420778418</v>
      </c>
      <c r="C68" s="5" t="s">
        <v>337</v>
      </c>
      <c r="D68" s="41">
        <v>71</v>
      </c>
      <c r="E68" s="41">
        <v>1600</v>
      </c>
      <c r="F68" s="41">
        <v>144</v>
      </c>
      <c r="G68" s="41">
        <v>144</v>
      </c>
      <c r="H68" s="41">
        <v>1888</v>
      </c>
      <c r="I68" s="52" t="s">
        <v>335</v>
      </c>
      <c r="J68" s="52" t="s">
        <v>355</v>
      </c>
      <c r="K68" s="11">
        <v>2464</v>
      </c>
      <c r="L68" s="4"/>
    </row>
    <row r="69" spans="1:12" ht="18.75" x14ac:dyDescent="0.3">
      <c r="A69" s="3" t="s">
        <v>289</v>
      </c>
      <c r="B69" s="3"/>
      <c r="C69" s="5" t="s">
        <v>348</v>
      </c>
      <c r="D69" s="41">
        <v>72</v>
      </c>
      <c r="E69" s="41">
        <v>24860</v>
      </c>
      <c r="F69" s="41">
        <v>2237.4</v>
      </c>
      <c r="G69" s="41">
        <v>2237.4</v>
      </c>
      <c r="H69" s="41">
        <v>29334.799999999999</v>
      </c>
      <c r="I69" s="52" t="s">
        <v>192</v>
      </c>
      <c r="J69" s="52" t="s">
        <v>358</v>
      </c>
      <c r="K69" s="11" t="s">
        <v>378</v>
      </c>
      <c r="L69" s="4"/>
    </row>
    <row r="70" spans="1:12" ht="18.75" x14ac:dyDescent="0.3">
      <c r="A70" s="3" t="s">
        <v>361</v>
      </c>
      <c r="B70" s="3"/>
      <c r="C70" s="5" t="s">
        <v>358</v>
      </c>
      <c r="D70" s="41">
        <v>73</v>
      </c>
      <c r="E70" s="41">
        <v>2400</v>
      </c>
      <c r="F70" s="41">
        <v>378</v>
      </c>
      <c r="G70" s="41">
        <v>378</v>
      </c>
      <c r="H70" s="41">
        <v>4956</v>
      </c>
      <c r="I70" s="40" t="s">
        <v>284</v>
      </c>
      <c r="J70" s="52" t="s">
        <v>387</v>
      </c>
      <c r="K70" s="11">
        <v>4956</v>
      </c>
      <c r="L70" s="4"/>
    </row>
    <row r="71" spans="1:12" ht="18.75" x14ac:dyDescent="0.3">
      <c r="A71" s="3" t="s">
        <v>70</v>
      </c>
      <c r="B71" s="5"/>
      <c r="C71" s="5" t="s">
        <v>363</v>
      </c>
      <c r="D71" s="41">
        <v>74</v>
      </c>
      <c r="E71" s="41">
        <v>5600</v>
      </c>
      <c r="F71" s="41">
        <v>504</v>
      </c>
      <c r="G71" s="41">
        <v>504</v>
      </c>
      <c r="H71" s="41">
        <v>6608</v>
      </c>
      <c r="I71" s="52" t="s">
        <v>213</v>
      </c>
      <c r="J71" s="52" t="s">
        <v>528</v>
      </c>
      <c r="K71" s="11"/>
      <c r="L71" s="4"/>
    </row>
    <row r="72" spans="1:12" ht="18.75" x14ac:dyDescent="0.3">
      <c r="A72" s="3" t="s">
        <v>301</v>
      </c>
      <c r="B72" s="5">
        <v>8754356469</v>
      </c>
      <c r="C72" s="5" t="s">
        <v>363</v>
      </c>
      <c r="D72" s="41">
        <v>75</v>
      </c>
      <c r="E72" s="41">
        <v>750</v>
      </c>
      <c r="F72" s="41">
        <v>67.5</v>
      </c>
      <c r="G72" s="41">
        <v>76.5</v>
      </c>
      <c r="H72" s="41">
        <v>885</v>
      </c>
      <c r="I72" s="52"/>
      <c r="J72" s="52" t="s">
        <v>373</v>
      </c>
      <c r="K72" s="11"/>
      <c r="L72" s="4"/>
    </row>
    <row r="73" spans="1:12" ht="18.75" x14ac:dyDescent="0.3">
      <c r="A73" s="3" t="s">
        <v>222</v>
      </c>
      <c r="B73" s="5">
        <v>9943084508</v>
      </c>
      <c r="C73" s="5" t="s">
        <v>384</v>
      </c>
      <c r="D73" s="41">
        <v>76</v>
      </c>
      <c r="E73" s="41">
        <v>5000</v>
      </c>
      <c r="F73" s="41">
        <v>450</v>
      </c>
      <c r="G73" s="41">
        <v>450</v>
      </c>
      <c r="H73" s="41">
        <v>5900</v>
      </c>
      <c r="I73" s="52" t="s">
        <v>235</v>
      </c>
      <c r="J73" s="54" t="s">
        <v>353</v>
      </c>
      <c r="K73" s="4" t="s">
        <v>383</v>
      </c>
      <c r="L73" s="4"/>
    </row>
    <row r="74" spans="1:12" ht="18.75" x14ac:dyDescent="0.3">
      <c r="A74" s="3" t="s">
        <v>336</v>
      </c>
      <c r="B74" s="3">
        <v>8420778418</v>
      </c>
      <c r="C74" s="5" t="s">
        <v>399</v>
      </c>
      <c r="D74" s="41">
        <v>77</v>
      </c>
      <c r="E74" s="41">
        <v>1600</v>
      </c>
      <c r="F74" s="41">
        <v>144</v>
      </c>
      <c r="G74" s="41">
        <v>144</v>
      </c>
      <c r="H74" s="41">
        <v>1888</v>
      </c>
      <c r="I74" s="52" t="s">
        <v>335</v>
      </c>
      <c r="J74" s="52" t="s">
        <v>387</v>
      </c>
      <c r="K74" s="4">
        <v>1888</v>
      </c>
      <c r="L74" s="4"/>
    </row>
    <row r="75" spans="1:12" ht="18.75" x14ac:dyDescent="0.3">
      <c r="A75" s="3" t="s">
        <v>385</v>
      </c>
      <c r="B75" s="3">
        <v>9952955111</v>
      </c>
      <c r="C75" s="5" t="s">
        <v>384</v>
      </c>
      <c r="D75" s="41">
        <v>78</v>
      </c>
      <c r="E75" s="41">
        <v>2000</v>
      </c>
      <c r="F75" s="41">
        <v>180</v>
      </c>
      <c r="G75" s="41">
        <v>180</v>
      </c>
      <c r="H75" s="41">
        <v>2360</v>
      </c>
      <c r="I75" s="40" t="s">
        <v>410</v>
      </c>
      <c r="J75" s="52" t="s">
        <v>402</v>
      </c>
      <c r="K75" s="4"/>
      <c r="L75" s="4"/>
    </row>
    <row r="76" spans="1:12" ht="18.75" x14ac:dyDescent="0.3">
      <c r="A76" s="4" t="s">
        <v>388</v>
      </c>
      <c r="B76" s="3">
        <v>9444117262</v>
      </c>
      <c r="C76" s="5" t="s">
        <v>389</v>
      </c>
      <c r="D76" s="41">
        <v>79</v>
      </c>
      <c r="E76" s="41">
        <v>18000</v>
      </c>
      <c r="F76" s="41">
        <v>1620</v>
      </c>
      <c r="G76" s="41">
        <v>1620</v>
      </c>
      <c r="H76" s="41">
        <v>21240</v>
      </c>
      <c r="I76" s="40" t="s">
        <v>411</v>
      </c>
      <c r="J76" s="52" t="s">
        <v>390</v>
      </c>
      <c r="K76" s="4"/>
      <c r="L76" s="4"/>
    </row>
    <row r="77" spans="1:12" ht="18.5" x14ac:dyDescent="0.45">
      <c r="A77" s="4" t="s">
        <v>397</v>
      </c>
      <c r="B77" s="3"/>
      <c r="C77" s="5" t="s">
        <v>402</v>
      </c>
      <c r="D77" s="41">
        <v>80</v>
      </c>
      <c r="E77" s="41">
        <v>2600</v>
      </c>
      <c r="F77" s="41">
        <v>234</v>
      </c>
      <c r="G77" s="41">
        <v>234</v>
      </c>
      <c r="H77" s="41">
        <v>3068</v>
      </c>
      <c r="I77" s="52" t="s">
        <v>283</v>
      </c>
      <c r="J77" s="52" t="s">
        <v>444</v>
      </c>
      <c r="K77" s="4">
        <v>3068</v>
      </c>
      <c r="L77" s="4"/>
    </row>
    <row r="78" spans="1:12" ht="18.5" x14ac:dyDescent="0.45">
      <c r="A78" s="4" t="s">
        <v>405</v>
      </c>
      <c r="B78" s="3">
        <v>9884123865</v>
      </c>
      <c r="C78" s="5" t="s">
        <v>402</v>
      </c>
      <c r="D78" s="41">
        <v>81</v>
      </c>
      <c r="E78" s="41">
        <v>1400</v>
      </c>
      <c r="F78" s="41">
        <v>126</v>
      </c>
      <c r="G78" s="41">
        <v>126</v>
      </c>
      <c r="H78" s="41">
        <v>1652</v>
      </c>
      <c r="I78" s="40" t="s">
        <v>333</v>
      </c>
      <c r="J78" s="52" t="s">
        <v>437</v>
      </c>
      <c r="K78" s="4"/>
      <c r="L78" s="4"/>
    </row>
    <row r="79" spans="1:12" ht="18.5" x14ac:dyDescent="0.45">
      <c r="A79" s="4" t="s">
        <v>327</v>
      </c>
      <c r="B79" s="3"/>
      <c r="C79" s="5" t="s">
        <v>412</v>
      </c>
      <c r="D79" s="41">
        <v>82</v>
      </c>
      <c r="E79" s="41">
        <v>24855</v>
      </c>
      <c r="F79" s="41">
        <v>2236.9499999999998</v>
      </c>
      <c r="G79" s="41">
        <v>2236.9499999999998</v>
      </c>
      <c r="H79" s="41">
        <v>29328.9</v>
      </c>
      <c r="I79" s="52" t="s">
        <v>283</v>
      </c>
      <c r="J79" s="52" t="s">
        <v>555</v>
      </c>
      <c r="K79" s="4"/>
      <c r="L79" s="4"/>
    </row>
    <row r="80" spans="1:12" ht="18.5" x14ac:dyDescent="0.45">
      <c r="A80" s="4" t="s">
        <v>406</v>
      </c>
      <c r="B80" s="3">
        <v>8428000331</v>
      </c>
      <c r="C80" s="5" t="s">
        <v>408</v>
      </c>
      <c r="D80" s="41">
        <v>83</v>
      </c>
      <c r="E80" s="41">
        <v>13194</v>
      </c>
      <c r="F80" s="41">
        <v>1187.46</v>
      </c>
      <c r="G80" s="41">
        <v>1187.46</v>
      </c>
      <c r="H80" s="41">
        <v>15568.92</v>
      </c>
      <c r="I80" s="40" t="s">
        <v>413</v>
      </c>
      <c r="J80" s="52" t="s">
        <v>408</v>
      </c>
      <c r="K80" s="4"/>
      <c r="L80" s="4"/>
    </row>
    <row r="81" spans="1:12" x14ac:dyDescent="0.35">
      <c r="A81" s="4"/>
      <c r="B81" s="4"/>
      <c r="C81" s="40"/>
      <c r="D81" s="40"/>
      <c r="E81" s="40"/>
      <c r="F81" s="40"/>
      <c r="G81" s="40"/>
      <c r="H81" s="68"/>
      <c r="I81" s="40"/>
      <c r="J81" s="52"/>
      <c r="K81" s="4"/>
      <c r="L81" s="4"/>
    </row>
    <row r="82" spans="1:12" x14ac:dyDescent="0.35">
      <c r="A82" s="4"/>
      <c r="B82" s="4"/>
      <c r="C82" s="40"/>
      <c r="D82" s="40"/>
      <c r="E82" s="40"/>
      <c r="F82" s="40"/>
      <c r="G82" s="40"/>
      <c r="H82" s="68"/>
      <c r="I82" s="40"/>
      <c r="J82" s="52"/>
      <c r="K82" s="4"/>
      <c r="L82" s="4"/>
    </row>
    <row r="83" spans="1:12" x14ac:dyDescent="0.35">
      <c r="A83" s="4"/>
      <c r="B83" s="4"/>
      <c r="C83" s="40"/>
      <c r="D83" s="40"/>
      <c r="E83" s="40"/>
      <c r="F83" s="40"/>
      <c r="G83" s="40"/>
      <c r="H83" s="68"/>
      <c r="I83" s="40"/>
      <c r="J83" s="52"/>
      <c r="K83" s="4"/>
      <c r="L83" s="4"/>
    </row>
    <row r="84" spans="1:12" x14ac:dyDescent="0.35">
      <c r="A84" s="4"/>
      <c r="B84" s="4"/>
      <c r="C84" s="40"/>
      <c r="D84" s="40"/>
      <c r="E84" s="40"/>
      <c r="F84" s="40"/>
      <c r="G84" s="40"/>
      <c r="H84" s="68"/>
      <c r="I84" s="40"/>
      <c r="J84" s="52"/>
      <c r="K84" s="4"/>
      <c r="L84" s="4"/>
    </row>
    <row r="85" spans="1:12" x14ac:dyDescent="0.35">
      <c r="A85" s="4"/>
      <c r="B85" s="4"/>
      <c r="C85" s="40"/>
      <c r="D85" s="40"/>
      <c r="E85" s="40"/>
      <c r="F85" s="40"/>
      <c r="G85" s="40"/>
      <c r="H85" s="68"/>
      <c r="I85" s="40"/>
      <c r="J85" s="52"/>
      <c r="K85" s="4"/>
      <c r="L85" s="4"/>
    </row>
    <row r="86" spans="1:12" x14ac:dyDescent="0.35">
      <c r="A86" s="4"/>
      <c r="B86" s="4"/>
      <c r="C86" s="40"/>
      <c r="D86" s="40"/>
      <c r="E86" s="40"/>
      <c r="F86" s="40"/>
      <c r="G86" s="40"/>
      <c r="H86" s="68"/>
      <c r="I86" s="40"/>
      <c r="J86" s="52"/>
      <c r="K86" s="4"/>
      <c r="L86" s="4"/>
    </row>
    <row r="87" spans="1:12" x14ac:dyDescent="0.35">
      <c r="A87" s="4"/>
      <c r="B87" s="4"/>
      <c r="C87" s="40"/>
      <c r="D87" s="40"/>
      <c r="E87" s="40"/>
      <c r="F87" s="40"/>
      <c r="G87" s="40"/>
      <c r="H87" s="68"/>
      <c r="I87" s="40"/>
      <c r="J87" s="52"/>
      <c r="K87" s="4"/>
      <c r="L87" s="4"/>
    </row>
    <row r="88" spans="1:12" x14ac:dyDescent="0.35">
      <c r="A88" s="4"/>
      <c r="B88" s="4"/>
      <c r="C88" s="40"/>
      <c r="D88" s="40"/>
      <c r="E88" s="40"/>
      <c r="F88" s="40"/>
      <c r="G88" s="40"/>
      <c r="H88" s="68"/>
      <c r="I88" s="40"/>
      <c r="J88" s="52"/>
      <c r="K88" s="4"/>
      <c r="L88" s="4"/>
    </row>
    <row r="89" spans="1:12" ht="18.5" x14ac:dyDescent="0.45">
      <c r="A89" s="3"/>
      <c r="B89" s="3"/>
      <c r="C89" s="3"/>
      <c r="D89" s="41"/>
      <c r="E89" s="41"/>
      <c r="F89" s="41"/>
      <c r="G89" s="41"/>
      <c r="H89" s="41"/>
      <c r="I89" s="60"/>
      <c r="J89" s="54"/>
      <c r="K89" s="4"/>
      <c r="L89" s="4"/>
    </row>
    <row r="90" spans="1:12" ht="18.5" x14ac:dyDescent="0.45">
      <c r="A90" s="3"/>
      <c r="B90" s="3"/>
      <c r="C90" s="3"/>
      <c r="D90" s="41"/>
      <c r="E90" s="41"/>
      <c r="F90" s="41"/>
      <c r="G90" s="41"/>
      <c r="H90" s="41"/>
      <c r="I90" s="60"/>
      <c r="J90" s="54"/>
      <c r="K90" s="4"/>
      <c r="L90" s="4"/>
    </row>
    <row r="91" spans="1:12" ht="18.5" x14ac:dyDescent="0.45">
      <c r="A91" s="3"/>
      <c r="B91" s="5"/>
      <c r="C91" s="3"/>
      <c r="D91" s="41"/>
      <c r="E91" s="41"/>
      <c r="F91" s="41"/>
      <c r="G91" s="41"/>
      <c r="H91" s="41"/>
      <c r="I91" s="60"/>
      <c r="J91" s="54"/>
      <c r="K91" s="4"/>
      <c r="L91" s="4"/>
    </row>
    <row r="92" spans="1:12" ht="18.5" x14ac:dyDescent="0.45">
      <c r="A92" s="3"/>
      <c r="B92" s="5"/>
      <c r="C92" s="3"/>
      <c r="D92" s="41"/>
      <c r="E92" s="41"/>
      <c r="F92" s="41"/>
      <c r="G92" s="41"/>
      <c r="H92" s="41"/>
      <c r="I92" s="60"/>
      <c r="J92" s="54"/>
      <c r="K92" s="4"/>
      <c r="L92" s="4"/>
    </row>
    <row r="93" spans="1:12" ht="18.5" x14ac:dyDescent="0.45">
      <c r="A93" s="3"/>
      <c r="B93" s="5"/>
      <c r="C93" s="3"/>
      <c r="D93" s="41"/>
      <c r="E93" s="41"/>
      <c r="F93" s="41"/>
      <c r="G93" s="41"/>
      <c r="H93" s="41"/>
      <c r="I93" s="60"/>
      <c r="J93" s="54"/>
      <c r="K93" s="4"/>
      <c r="L93" s="4"/>
    </row>
    <row r="94" spans="1:12" ht="18.5" x14ac:dyDescent="0.45">
      <c r="A94" s="3"/>
      <c r="B94" s="5"/>
      <c r="C94" s="3"/>
      <c r="D94" s="41"/>
      <c r="E94" s="41"/>
      <c r="F94" s="41"/>
      <c r="G94" s="41"/>
      <c r="H94" s="41"/>
      <c r="I94" s="60"/>
      <c r="J94" s="77"/>
      <c r="K94" s="4"/>
      <c r="L94" s="4"/>
    </row>
    <row r="95" spans="1:12" ht="18.5" x14ac:dyDescent="0.45">
      <c r="A95" s="3"/>
      <c r="B95" s="5"/>
      <c r="C95" s="3"/>
      <c r="D95" s="41"/>
      <c r="E95" s="41"/>
      <c r="F95" s="41"/>
      <c r="G95" s="41"/>
      <c r="H95" s="41"/>
      <c r="I95" s="60"/>
      <c r="J95" s="54"/>
      <c r="K95" s="4"/>
      <c r="L95" s="4"/>
    </row>
    <row r="96" spans="1:12" ht="18.5" x14ac:dyDescent="0.45">
      <c r="A96" s="3"/>
      <c r="B96" s="5"/>
      <c r="C96" s="3"/>
      <c r="D96" s="41"/>
      <c r="E96" s="41"/>
      <c r="F96" s="41"/>
      <c r="G96" s="41"/>
      <c r="H96" s="41"/>
      <c r="I96" s="60"/>
      <c r="J96" s="54"/>
      <c r="K96" s="4"/>
      <c r="L96" s="4"/>
    </row>
    <row r="97" spans="1:12" ht="18.5" x14ac:dyDescent="0.45">
      <c r="A97" s="3"/>
      <c r="B97" s="5"/>
      <c r="C97" s="43"/>
      <c r="D97" s="41"/>
      <c r="E97" s="41"/>
      <c r="F97" s="41"/>
      <c r="G97" s="41"/>
      <c r="H97" s="41"/>
      <c r="I97" s="61"/>
      <c r="J97" s="54"/>
      <c r="K97" s="4"/>
      <c r="L97" s="4"/>
    </row>
    <row r="98" spans="1:12" ht="18.5" x14ac:dyDescent="0.45">
      <c r="A98" s="3"/>
      <c r="B98" s="5"/>
      <c r="C98" s="5"/>
      <c r="D98" s="41"/>
      <c r="E98" s="41"/>
      <c r="F98" s="41"/>
      <c r="G98" s="41"/>
      <c r="H98" s="41"/>
      <c r="I98" s="61"/>
      <c r="J98" s="54"/>
      <c r="K98" s="4"/>
      <c r="L98" s="4"/>
    </row>
    <row r="99" spans="1:12" ht="18.5" x14ac:dyDescent="0.45">
      <c r="A99" s="3"/>
      <c r="B99" s="3"/>
      <c r="C99" s="3"/>
      <c r="D99" s="41"/>
      <c r="E99" s="41"/>
      <c r="F99" s="41"/>
      <c r="G99" s="41"/>
      <c r="H99" s="41"/>
      <c r="I99" s="60"/>
      <c r="J99" s="54"/>
      <c r="K99" s="4"/>
      <c r="L99" s="4"/>
    </row>
    <row r="100" spans="1:12" ht="18.5" x14ac:dyDescent="0.45">
      <c r="A100" s="3"/>
      <c r="B100" s="3"/>
      <c r="C100" s="3"/>
      <c r="D100" s="41"/>
      <c r="E100" s="41"/>
      <c r="F100" s="41"/>
      <c r="G100" s="41"/>
      <c r="H100" s="41"/>
      <c r="I100" s="60"/>
      <c r="J100" s="54"/>
      <c r="K100" s="4"/>
      <c r="L100" s="4"/>
    </row>
    <row r="101" spans="1:12" ht="18.5" x14ac:dyDescent="0.45">
      <c r="A101" s="3"/>
      <c r="B101" s="3"/>
      <c r="C101" s="3"/>
      <c r="D101" s="41"/>
      <c r="E101" s="41"/>
      <c r="F101" s="41"/>
      <c r="G101" s="41"/>
      <c r="H101" s="41"/>
      <c r="I101" s="60"/>
      <c r="J101" s="54"/>
      <c r="K101" s="4"/>
      <c r="L101" s="4"/>
    </row>
    <row r="102" spans="1:12" ht="18.5" x14ac:dyDescent="0.45">
      <c r="A102" s="3"/>
      <c r="B102" s="3"/>
      <c r="C102" s="3"/>
      <c r="D102" s="41"/>
      <c r="E102" s="41"/>
      <c r="F102" s="41"/>
      <c r="G102" s="41"/>
      <c r="H102" s="41"/>
      <c r="I102" s="60"/>
      <c r="J102" s="54"/>
      <c r="K102" s="4"/>
      <c r="L102" s="4"/>
    </row>
    <row r="103" spans="1:12" ht="18.5" x14ac:dyDescent="0.45">
      <c r="A103" s="3"/>
      <c r="B103" s="3"/>
      <c r="C103" s="3"/>
      <c r="D103" s="41"/>
      <c r="E103" s="41"/>
      <c r="F103" s="41"/>
      <c r="G103" s="41"/>
      <c r="H103" s="41"/>
      <c r="I103" s="60"/>
      <c r="J103" s="54"/>
      <c r="K103" s="4"/>
      <c r="L103" s="4"/>
    </row>
    <row r="104" spans="1:12" ht="18.5" x14ac:dyDescent="0.45">
      <c r="A104" s="3"/>
      <c r="B104" s="3"/>
      <c r="C104" s="3"/>
      <c r="D104" s="41"/>
      <c r="E104" s="41"/>
      <c r="F104" s="41"/>
      <c r="G104" s="41"/>
      <c r="H104" s="41"/>
      <c r="I104" s="60"/>
      <c r="J104" s="54"/>
      <c r="K104" s="4"/>
      <c r="L104" s="4"/>
    </row>
    <row r="105" spans="1:12" ht="18.5" x14ac:dyDescent="0.45">
      <c r="A105" s="3"/>
      <c r="B105" s="3"/>
      <c r="C105" s="3"/>
      <c r="D105" s="41"/>
      <c r="E105" s="41"/>
      <c r="F105" s="41"/>
      <c r="G105" s="41"/>
      <c r="H105" s="41"/>
      <c r="I105" s="60"/>
      <c r="J105" s="54"/>
      <c r="K105" s="4"/>
      <c r="L105" s="4"/>
    </row>
    <row r="106" spans="1:12" ht="18.5" x14ac:dyDescent="0.45">
      <c r="A106" s="3"/>
      <c r="B106" s="3"/>
      <c r="C106" s="3"/>
      <c r="D106" s="41"/>
      <c r="E106" s="41"/>
      <c r="F106" s="41"/>
      <c r="G106" s="41"/>
      <c r="H106" s="41"/>
      <c r="I106" s="60"/>
      <c r="J106" s="54"/>
      <c r="K106" s="4"/>
      <c r="L106" s="4"/>
    </row>
    <row r="107" spans="1:12" ht="18.5" x14ac:dyDescent="0.45">
      <c r="A107" s="3"/>
      <c r="B107" s="5"/>
      <c r="C107" s="3"/>
      <c r="D107" s="41"/>
      <c r="E107" s="41"/>
      <c r="F107" s="41"/>
      <c r="G107" s="41"/>
      <c r="H107" s="41"/>
      <c r="I107" s="60"/>
      <c r="J107" s="54"/>
      <c r="K107" s="4"/>
      <c r="L107" s="4"/>
    </row>
    <row r="108" spans="1:12" ht="18.5" x14ac:dyDescent="0.45">
      <c r="A108" s="3"/>
      <c r="B108" s="5"/>
      <c r="C108" s="3"/>
      <c r="D108" s="41"/>
      <c r="E108" s="41"/>
      <c r="F108" s="41"/>
      <c r="G108" s="41"/>
      <c r="H108" s="41"/>
      <c r="I108" s="60"/>
      <c r="J108" s="54"/>
      <c r="K108" s="4"/>
      <c r="L108" s="4"/>
    </row>
    <row r="109" spans="1:12" ht="18.5" x14ac:dyDescent="0.45">
      <c r="A109" s="3"/>
      <c r="B109" s="5"/>
      <c r="C109" s="3"/>
      <c r="D109" s="41"/>
      <c r="E109" s="41"/>
      <c r="F109" s="41"/>
      <c r="G109" s="41"/>
      <c r="H109" s="41"/>
      <c r="I109" s="60"/>
      <c r="J109" s="54"/>
      <c r="K109" s="4"/>
      <c r="L109" s="4"/>
    </row>
    <row r="110" spans="1:12" ht="18.5" x14ac:dyDescent="0.45">
      <c r="A110" s="3"/>
      <c r="B110" s="5"/>
      <c r="C110" s="3"/>
      <c r="D110" s="41"/>
      <c r="E110" s="41"/>
      <c r="F110" s="41"/>
      <c r="G110" s="41"/>
      <c r="H110" s="41"/>
      <c r="I110" s="60"/>
      <c r="J110" s="59"/>
      <c r="K110" s="4"/>
      <c r="L110" s="4"/>
    </row>
    <row r="111" spans="1:12" ht="18.5" x14ac:dyDescent="0.45">
      <c r="A111" s="3"/>
      <c r="B111" s="5"/>
      <c r="C111" s="3"/>
      <c r="D111" s="41"/>
      <c r="E111" s="41"/>
      <c r="F111" s="41"/>
      <c r="G111" s="41"/>
      <c r="H111" s="41"/>
      <c r="I111" s="60"/>
      <c r="J111" s="54"/>
      <c r="K111" s="4"/>
      <c r="L111" s="4"/>
    </row>
    <row r="112" spans="1:12" ht="18.5" x14ac:dyDescent="0.45">
      <c r="A112" s="3"/>
      <c r="B112" s="3"/>
      <c r="C112" s="3"/>
      <c r="D112" s="41"/>
      <c r="E112" s="41"/>
      <c r="F112" s="41"/>
      <c r="G112" s="41"/>
      <c r="H112" s="41"/>
      <c r="I112" s="61"/>
      <c r="J112" s="59"/>
      <c r="K112" s="4"/>
      <c r="L112" s="4"/>
    </row>
    <row r="113" spans="1:12" ht="18.5" x14ac:dyDescent="0.45">
      <c r="A113" s="3"/>
      <c r="B113" s="3"/>
      <c r="C113" s="3"/>
      <c r="D113" s="41"/>
      <c r="E113" s="41"/>
      <c r="F113" s="41"/>
      <c r="G113" s="41"/>
      <c r="H113" s="41"/>
      <c r="I113" s="61"/>
      <c r="J113" s="59"/>
      <c r="K113" s="4"/>
      <c r="L113" s="4"/>
    </row>
    <row r="114" spans="1:12" ht="18.5" x14ac:dyDescent="0.45">
      <c r="A114" s="3"/>
      <c r="B114" s="5"/>
      <c r="C114" s="5"/>
      <c r="D114" s="41"/>
      <c r="E114" s="41"/>
      <c r="F114" s="41"/>
      <c r="G114" s="41"/>
      <c r="H114" s="41"/>
      <c r="I114" s="61"/>
      <c r="J114" s="59"/>
      <c r="K114" s="4"/>
      <c r="L114" s="4"/>
    </row>
    <row r="115" spans="1:12" ht="18.5" x14ac:dyDescent="0.45">
      <c r="A115" s="3"/>
      <c r="B115" s="3"/>
      <c r="C115" s="3"/>
      <c r="D115" s="41"/>
      <c r="E115" s="41"/>
      <c r="F115" s="41"/>
      <c r="G115" s="41"/>
      <c r="H115" s="41"/>
      <c r="I115" s="61"/>
      <c r="J115" s="59"/>
      <c r="K115" s="4"/>
      <c r="L115" s="4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opLeftCell="A28" zoomScale="130" zoomScaleNormal="130" workbookViewId="0">
      <selection activeCell="A37" sqref="A37"/>
    </sheetView>
  </sheetViews>
  <sheetFormatPr defaultRowHeight="14.5" x14ac:dyDescent="0.35"/>
  <cols>
    <col min="1" max="1" width="36.1796875" bestFit="1" customWidth="1"/>
    <col min="2" max="2" width="11.54296875" customWidth="1"/>
    <col min="3" max="3" width="9.1796875" customWidth="1"/>
    <col min="4" max="4" width="6.54296875" customWidth="1"/>
    <col min="5" max="5" width="7.453125" customWidth="1"/>
    <col min="6" max="7" width="9.81640625" bestFit="1" customWidth="1"/>
    <col min="8" max="8" width="11.1796875" customWidth="1"/>
    <col min="9" max="9" width="14" customWidth="1"/>
    <col min="10" max="10" width="17.7265625" bestFit="1" customWidth="1"/>
    <col min="11" max="11" width="18.81640625" bestFit="1" customWidth="1"/>
    <col min="12" max="12" width="12" bestFit="1" customWidth="1"/>
  </cols>
  <sheetData>
    <row r="1" spans="1:12" ht="15" x14ac:dyDescent="0.25">
      <c r="L1">
        <v>9344625597</v>
      </c>
    </row>
    <row r="2" spans="1:12" ht="15" x14ac:dyDescent="0.25">
      <c r="A2" s="69" t="s">
        <v>0</v>
      </c>
      <c r="B2" s="92">
        <v>7299917887</v>
      </c>
      <c r="C2" s="69"/>
      <c r="D2" s="92">
        <v>14500</v>
      </c>
      <c r="E2" s="69" t="s">
        <v>430</v>
      </c>
      <c r="F2" s="93">
        <v>14500</v>
      </c>
      <c r="G2" s="69" t="s">
        <v>2</v>
      </c>
      <c r="H2" s="108"/>
      <c r="I2" s="64" t="s">
        <v>401</v>
      </c>
    </row>
    <row r="3" spans="1:12" ht="15" x14ac:dyDescent="0.25">
      <c r="A3" s="69" t="s">
        <v>7</v>
      </c>
      <c r="B3" s="69">
        <v>9840168557</v>
      </c>
      <c r="C3" s="69"/>
      <c r="D3" s="92">
        <v>3200</v>
      </c>
      <c r="E3" s="69"/>
      <c r="F3" s="94" t="s">
        <v>346</v>
      </c>
      <c r="G3" s="69"/>
      <c r="H3" s="108"/>
      <c r="I3" s="64">
        <v>7200</v>
      </c>
    </row>
    <row r="4" spans="1:12" ht="15.75" x14ac:dyDescent="0.25">
      <c r="A4" s="69" t="s">
        <v>36</v>
      </c>
      <c r="B4" s="69">
        <v>7904401435</v>
      </c>
      <c r="C4" s="69" t="s">
        <v>23</v>
      </c>
      <c r="D4" s="92">
        <v>1750</v>
      </c>
      <c r="E4" s="69"/>
      <c r="F4" s="94"/>
      <c r="G4" s="69"/>
      <c r="H4" s="109"/>
      <c r="I4" s="65"/>
      <c r="J4" s="1"/>
    </row>
    <row r="5" spans="1:12" ht="15" x14ac:dyDescent="0.25">
      <c r="A5" s="95" t="s">
        <v>248</v>
      </c>
      <c r="B5" s="92">
        <v>7550283099</v>
      </c>
      <c r="C5" s="69" t="s">
        <v>44</v>
      </c>
      <c r="D5" s="96">
        <v>6850</v>
      </c>
      <c r="E5" s="69"/>
      <c r="F5" s="94"/>
      <c r="G5" s="69"/>
      <c r="H5" s="108"/>
      <c r="I5" s="64"/>
    </row>
    <row r="6" spans="1:12" ht="18.75" x14ac:dyDescent="0.3">
      <c r="A6" s="95" t="s">
        <v>45</v>
      </c>
      <c r="B6" s="92">
        <v>7904622354</v>
      </c>
      <c r="C6" s="69" t="s">
        <v>46</v>
      </c>
      <c r="D6" s="92">
        <v>3200</v>
      </c>
      <c r="E6" s="69" t="s">
        <v>446</v>
      </c>
      <c r="F6" s="94">
        <v>6400</v>
      </c>
      <c r="G6" s="69" t="s">
        <v>423</v>
      </c>
      <c r="H6" s="108"/>
      <c r="I6" s="64"/>
      <c r="J6" s="3"/>
    </row>
    <row r="7" spans="1:12" ht="15" x14ac:dyDescent="0.25">
      <c r="A7" s="69" t="s">
        <v>60</v>
      </c>
      <c r="B7" s="92">
        <v>8925124442</v>
      </c>
      <c r="C7" s="69"/>
      <c r="D7" s="92">
        <v>3500</v>
      </c>
      <c r="E7" s="69"/>
      <c r="F7" s="94"/>
      <c r="G7" s="69"/>
      <c r="H7" s="108"/>
      <c r="I7" s="64"/>
      <c r="K7" s="51"/>
    </row>
    <row r="8" spans="1:12" ht="15" x14ac:dyDescent="0.25">
      <c r="A8" s="69" t="s">
        <v>113</v>
      </c>
      <c r="B8" s="92">
        <v>8148141825</v>
      </c>
      <c r="C8" s="69" t="s">
        <v>106</v>
      </c>
      <c r="D8" s="97">
        <v>1600</v>
      </c>
      <c r="E8" s="98"/>
      <c r="F8" s="94"/>
      <c r="G8" s="69"/>
      <c r="H8" s="108"/>
      <c r="I8" s="66"/>
    </row>
    <row r="9" spans="1:12" ht="15" x14ac:dyDescent="0.25">
      <c r="A9" s="69" t="s">
        <v>223</v>
      </c>
      <c r="B9" s="92">
        <v>8148141825</v>
      </c>
      <c r="C9" s="69" t="s">
        <v>129</v>
      </c>
      <c r="D9" s="97">
        <v>1600</v>
      </c>
      <c r="E9" s="98" t="s">
        <v>446</v>
      </c>
      <c r="F9" s="94">
        <v>3200</v>
      </c>
      <c r="G9" s="69" t="s">
        <v>423</v>
      </c>
      <c r="H9" s="108"/>
      <c r="I9" s="86"/>
    </row>
    <row r="10" spans="1:12" ht="15" x14ac:dyDescent="0.25">
      <c r="A10" s="100" t="s">
        <v>132</v>
      </c>
      <c r="B10" s="92">
        <v>6369398270</v>
      </c>
      <c r="C10" s="69" t="s">
        <v>130</v>
      </c>
      <c r="D10" s="92">
        <v>1500</v>
      </c>
      <c r="E10" s="69"/>
      <c r="F10" s="105" t="s">
        <v>346</v>
      </c>
      <c r="G10" s="69"/>
      <c r="H10" s="108"/>
      <c r="I10" s="99" t="s">
        <v>432</v>
      </c>
      <c r="J10" s="90"/>
    </row>
    <row r="11" spans="1:12" ht="15" x14ac:dyDescent="0.25">
      <c r="A11" s="69" t="s">
        <v>160</v>
      </c>
      <c r="B11" s="92">
        <v>8825663180</v>
      </c>
      <c r="C11" s="69" t="s">
        <v>161</v>
      </c>
      <c r="D11" s="92">
        <v>1750</v>
      </c>
      <c r="E11" s="69" t="s">
        <v>445</v>
      </c>
      <c r="F11" s="94">
        <v>1750</v>
      </c>
      <c r="G11" s="69" t="s">
        <v>423</v>
      </c>
      <c r="H11" s="108"/>
      <c r="I11" s="64"/>
    </row>
    <row r="12" spans="1:12" ht="15" x14ac:dyDescent="0.25">
      <c r="A12" s="100" t="s">
        <v>165</v>
      </c>
      <c r="B12" s="92">
        <v>9962842598</v>
      </c>
      <c r="C12" s="69" t="s">
        <v>164</v>
      </c>
      <c r="D12" s="92">
        <v>2000</v>
      </c>
      <c r="E12" s="69"/>
      <c r="F12" s="94">
        <v>900</v>
      </c>
      <c r="G12" s="69" t="s">
        <v>423</v>
      </c>
      <c r="H12" s="108"/>
      <c r="I12" s="99" t="s">
        <v>431</v>
      </c>
    </row>
    <row r="13" spans="1:12" ht="15" x14ac:dyDescent="0.25">
      <c r="A13" s="69" t="s">
        <v>194</v>
      </c>
      <c r="B13" s="92">
        <v>9941351728</v>
      </c>
      <c r="C13" s="69" t="s">
        <v>195</v>
      </c>
      <c r="D13" s="92">
        <v>3500</v>
      </c>
      <c r="E13" s="69" t="s">
        <v>421</v>
      </c>
      <c r="F13" s="94">
        <v>3500</v>
      </c>
      <c r="G13" s="69" t="s">
        <v>51</v>
      </c>
      <c r="H13" s="108"/>
      <c r="I13" s="64"/>
    </row>
    <row r="14" spans="1:12" ht="15" x14ac:dyDescent="0.25">
      <c r="A14" s="69" t="s">
        <v>7</v>
      </c>
      <c r="B14" s="92">
        <v>9840168557</v>
      </c>
      <c r="C14" s="69" t="s">
        <v>208</v>
      </c>
      <c r="D14" s="92">
        <v>4000</v>
      </c>
      <c r="E14" s="69"/>
      <c r="F14" s="94"/>
      <c r="G14" s="69"/>
      <c r="H14" s="108"/>
      <c r="I14" s="64"/>
    </row>
    <row r="15" spans="1:12" ht="15" x14ac:dyDescent="0.25">
      <c r="A15" s="69" t="s">
        <v>241</v>
      </c>
      <c r="B15" s="92">
        <v>8939538396</v>
      </c>
      <c r="C15" s="69" t="s">
        <v>242</v>
      </c>
      <c r="D15" s="92">
        <v>4500</v>
      </c>
      <c r="E15" s="69" t="s">
        <v>449</v>
      </c>
      <c r="F15" s="94">
        <v>5000</v>
      </c>
      <c r="G15" s="69" t="s">
        <v>423</v>
      </c>
      <c r="H15" s="108"/>
      <c r="I15" s="66" t="s">
        <v>375</v>
      </c>
      <c r="J15" s="66" t="s">
        <v>453</v>
      </c>
    </row>
    <row r="16" spans="1:12" ht="15" x14ac:dyDescent="0.25">
      <c r="A16" s="69" t="s">
        <v>241</v>
      </c>
      <c r="B16" s="92">
        <v>8939538396</v>
      </c>
      <c r="C16" s="69"/>
      <c r="D16" s="92"/>
      <c r="E16" s="69" t="s">
        <v>506</v>
      </c>
      <c r="F16" s="94">
        <v>2000</v>
      </c>
      <c r="G16" s="69" t="s">
        <v>505</v>
      </c>
      <c r="H16" s="108"/>
      <c r="I16" s="66"/>
      <c r="J16" s="66"/>
    </row>
    <row r="17" spans="1:10" ht="15" x14ac:dyDescent="0.25">
      <c r="A17" s="69" t="s">
        <v>266</v>
      </c>
      <c r="B17" s="92">
        <v>6385458304</v>
      </c>
      <c r="C17" s="69" t="s">
        <v>259</v>
      </c>
      <c r="D17" s="92">
        <v>2200</v>
      </c>
      <c r="E17" s="69" t="s">
        <v>455</v>
      </c>
      <c r="F17" s="94">
        <v>2200</v>
      </c>
      <c r="G17" s="69" t="s">
        <v>51</v>
      </c>
      <c r="H17" s="108"/>
      <c r="I17" s="66"/>
    </row>
    <row r="18" spans="1:10" ht="15" x14ac:dyDescent="0.25">
      <c r="A18" s="69" t="s">
        <v>268</v>
      </c>
      <c r="B18" s="92">
        <v>9345845341</v>
      </c>
      <c r="C18" s="69" t="s">
        <v>265</v>
      </c>
      <c r="D18" s="92">
        <v>2000</v>
      </c>
      <c r="E18" s="69" t="s">
        <v>422</v>
      </c>
      <c r="F18" s="94">
        <v>2000</v>
      </c>
      <c r="G18" s="69" t="s">
        <v>423</v>
      </c>
      <c r="H18" s="66" t="s">
        <v>401</v>
      </c>
      <c r="I18" s="66"/>
    </row>
    <row r="19" spans="1:10" ht="15" x14ac:dyDescent="0.25">
      <c r="A19" s="69" t="s">
        <v>268</v>
      </c>
      <c r="B19" s="92"/>
      <c r="C19" s="69"/>
      <c r="D19" s="92"/>
      <c r="E19" s="69" t="s">
        <v>462</v>
      </c>
      <c r="F19" s="94">
        <v>2000</v>
      </c>
      <c r="G19" s="69" t="s">
        <v>423</v>
      </c>
      <c r="H19" s="108" t="s">
        <v>475</v>
      </c>
      <c r="I19" s="66"/>
    </row>
    <row r="20" spans="1:10" ht="15" x14ac:dyDescent="0.25">
      <c r="A20" s="69" t="s">
        <v>269</v>
      </c>
      <c r="B20" s="92">
        <v>9080506121</v>
      </c>
      <c r="C20" s="69" t="s">
        <v>270</v>
      </c>
      <c r="D20" s="92">
        <v>2300</v>
      </c>
      <c r="E20" s="69" t="s">
        <v>422</v>
      </c>
      <c r="F20" s="94">
        <v>2300</v>
      </c>
      <c r="G20" s="69" t="s">
        <v>51</v>
      </c>
      <c r="H20" s="66" t="s">
        <v>401</v>
      </c>
      <c r="I20" s="66"/>
    </row>
    <row r="21" spans="1:10" ht="15" x14ac:dyDescent="0.25">
      <c r="A21" s="69" t="s">
        <v>269</v>
      </c>
      <c r="B21" s="92">
        <v>9080506121</v>
      </c>
      <c r="C21" s="69"/>
      <c r="D21" s="92"/>
      <c r="E21" s="69" t="s">
        <v>462</v>
      </c>
      <c r="F21" s="94">
        <v>2300</v>
      </c>
      <c r="G21" s="69" t="s">
        <v>51</v>
      </c>
      <c r="H21" s="108" t="s">
        <v>475</v>
      </c>
      <c r="I21" s="66"/>
    </row>
    <row r="22" spans="1:10" ht="15" x14ac:dyDescent="0.25">
      <c r="A22" s="69" t="s">
        <v>285</v>
      </c>
      <c r="B22" s="92">
        <v>9791050538</v>
      </c>
      <c r="C22" s="69" t="s">
        <v>279</v>
      </c>
      <c r="D22" s="92">
        <v>3400</v>
      </c>
      <c r="E22" s="69" t="s">
        <v>414</v>
      </c>
      <c r="F22" s="94">
        <v>3400</v>
      </c>
      <c r="G22" s="69" t="s">
        <v>47</v>
      </c>
      <c r="H22" s="108"/>
      <c r="I22" s="71"/>
    </row>
    <row r="23" spans="1:10" ht="15" x14ac:dyDescent="0.25">
      <c r="A23" s="69" t="s">
        <v>306</v>
      </c>
      <c r="B23" s="92">
        <v>9791101009</v>
      </c>
      <c r="C23" s="69" t="s">
        <v>307</v>
      </c>
      <c r="D23" s="92">
        <v>1500</v>
      </c>
      <c r="E23" s="69" t="s">
        <v>444</v>
      </c>
      <c r="F23" s="94">
        <v>500</v>
      </c>
      <c r="G23" s="69" t="s">
        <v>439</v>
      </c>
      <c r="H23" s="108"/>
      <c r="I23" s="66" t="s">
        <v>443</v>
      </c>
    </row>
    <row r="24" spans="1:10" ht="15" x14ac:dyDescent="0.25">
      <c r="A24" s="100" t="s">
        <v>313</v>
      </c>
      <c r="B24" s="92">
        <v>8929406143</v>
      </c>
      <c r="C24" s="69" t="s">
        <v>311</v>
      </c>
      <c r="D24" s="92">
        <v>4000</v>
      </c>
      <c r="E24" s="69"/>
      <c r="F24" s="94"/>
      <c r="G24" s="69"/>
      <c r="H24" s="108"/>
      <c r="I24" s="106" t="s">
        <v>6</v>
      </c>
    </row>
    <row r="25" spans="1:10" ht="15" x14ac:dyDescent="0.25">
      <c r="A25" s="69" t="s">
        <v>319</v>
      </c>
      <c r="B25" s="92"/>
      <c r="C25" s="69" t="s">
        <v>294</v>
      </c>
      <c r="D25" s="92">
        <v>14700</v>
      </c>
      <c r="E25" s="69"/>
      <c r="F25" s="94"/>
      <c r="G25" s="69"/>
      <c r="H25" s="108"/>
      <c r="I25" s="72">
        <v>14700</v>
      </c>
    </row>
    <row r="26" spans="1:10" ht="15" x14ac:dyDescent="0.25">
      <c r="A26" s="69" t="s">
        <v>330</v>
      </c>
      <c r="B26" s="92">
        <v>9884664943</v>
      </c>
      <c r="C26" s="69" t="s">
        <v>329</v>
      </c>
      <c r="D26" s="92">
        <v>2000</v>
      </c>
      <c r="E26" s="69" t="s">
        <v>449</v>
      </c>
      <c r="F26" s="94">
        <v>2000</v>
      </c>
      <c r="G26" s="69" t="s">
        <v>423</v>
      </c>
      <c r="H26" s="108"/>
      <c r="I26" s="64"/>
    </row>
    <row r="27" spans="1:10" ht="15" x14ac:dyDescent="0.25">
      <c r="A27" s="69" t="s">
        <v>343</v>
      </c>
      <c r="B27" s="92">
        <v>9940440423</v>
      </c>
      <c r="C27" s="69" t="s">
        <v>337</v>
      </c>
      <c r="D27" s="92">
        <v>1800</v>
      </c>
      <c r="E27" s="69" t="s">
        <v>450</v>
      </c>
      <c r="F27" s="94">
        <v>1800</v>
      </c>
      <c r="G27" s="69" t="s">
        <v>51</v>
      </c>
      <c r="H27" s="108"/>
      <c r="I27" s="64"/>
    </row>
    <row r="28" spans="1:10" ht="15" x14ac:dyDescent="0.25">
      <c r="A28" s="69" t="s">
        <v>349</v>
      </c>
      <c r="B28" s="92"/>
      <c r="C28" s="69" t="s">
        <v>353</v>
      </c>
      <c r="D28" s="92">
        <v>2300</v>
      </c>
      <c r="E28" s="69" t="s">
        <v>466</v>
      </c>
      <c r="F28" s="94">
        <v>2300</v>
      </c>
      <c r="G28" s="69"/>
      <c r="H28" s="113"/>
      <c r="I28" s="114" t="s">
        <v>484</v>
      </c>
      <c r="J28" s="113"/>
    </row>
    <row r="29" spans="1:10" ht="15" x14ac:dyDescent="0.25">
      <c r="A29" s="69" t="s">
        <v>374</v>
      </c>
      <c r="B29" s="92">
        <v>7338700557</v>
      </c>
      <c r="C29" s="69" t="s">
        <v>351</v>
      </c>
      <c r="D29" s="92">
        <v>4250</v>
      </c>
      <c r="E29" s="69"/>
      <c r="F29" s="94"/>
      <c r="G29" s="69" t="s">
        <v>47</v>
      </c>
      <c r="H29" s="108" t="s">
        <v>472</v>
      </c>
      <c r="I29" s="64"/>
    </row>
    <row r="30" spans="1:10" ht="15" x14ac:dyDescent="0.25">
      <c r="A30" s="69" t="s">
        <v>352</v>
      </c>
      <c r="B30" s="92">
        <v>9042515894</v>
      </c>
      <c r="C30" s="69" t="s">
        <v>353</v>
      </c>
      <c r="D30" s="92">
        <v>4000</v>
      </c>
      <c r="E30" s="69" t="s">
        <v>437</v>
      </c>
      <c r="F30" s="94">
        <v>3300</v>
      </c>
      <c r="G30" s="69" t="s">
        <v>47</v>
      </c>
      <c r="H30" s="108"/>
      <c r="I30" s="64"/>
    </row>
    <row r="31" spans="1:10" ht="15" x14ac:dyDescent="0.25">
      <c r="A31" s="69" t="s">
        <v>354</v>
      </c>
      <c r="B31" s="92">
        <v>6382501514</v>
      </c>
      <c r="C31" s="69" t="s">
        <v>353</v>
      </c>
      <c r="D31" s="92">
        <v>2000</v>
      </c>
      <c r="E31" s="69" t="s">
        <v>438</v>
      </c>
      <c r="F31" s="94">
        <v>1750</v>
      </c>
      <c r="G31" s="69" t="s">
        <v>423</v>
      </c>
      <c r="H31" s="108"/>
      <c r="I31" s="64"/>
    </row>
    <row r="32" spans="1:10" ht="15" x14ac:dyDescent="0.25">
      <c r="A32" s="69" t="s">
        <v>357</v>
      </c>
      <c r="B32" s="92">
        <v>9940199236</v>
      </c>
      <c r="C32" s="69" t="s">
        <v>358</v>
      </c>
      <c r="D32" s="92">
        <v>1500</v>
      </c>
      <c r="E32" s="69" t="s">
        <v>422</v>
      </c>
      <c r="F32" s="94">
        <v>1500</v>
      </c>
      <c r="G32" s="69" t="s">
        <v>47</v>
      </c>
      <c r="H32" s="108"/>
      <c r="I32" s="64"/>
    </row>
    <row r="33" spans="1:10" ht="15" x14ac:dyDescent="0.25">
      <c r="A33" s="69" t="s">
        <v>362</v>
      </c>
      <c r="B33" s="92">
        <v>9791273244</v>
      </c>
      <c r="C33" s="69" t="s">
        <v>358</v>
      </c>
      <c r="D33" s="92">
        <v>1800</v>
      </c>
      <c r="E33" s="69" t="s">
        <v>433</v>
      </c>
      <c r="F33" s="94">
        <v>1600</v>
      </c>
      <c r="G33" s="69" t="s">
        <v>47</v>
      </c>
      <c r="H33" s="108"/>
      <c r="I33" s="64"/>
    </row>
    <row r="34" spans="1:10" ht="15" x14ac:dyDescent="0.25">
      <c r="A34" s="69" t="s">
        <v>369</v>
      </c>
      <c r="B34" s="92">
        <v>9940053942</v>
      </c>
      <c r="C34" s="69" t="s">
        <v>373</v>
      </c>
      <c r="D34" s="92">
        <v>2000</v>
      </c>
      <c r="E34" s="69" t="s">
        <v>438</v>
      </c>
      <c r="F34" s="94">
        <v>2000</v>
      </c>
      <c r="G34" s="69" t="s">
        <v>439</v>
      </c>
      <c r="H34" s="108"/>
      <c r="I34" s="64"/>
    </row>
    <row r="35" spans="1:10" ht="15" x14ac:dyDescent="0.25">
      <c r="A35" s="69" t="s">
        <v>415</v>
      </c>
      <c r="B35" s="92">
        <v>9400904091</v>
      </c>
      <c r="C35" s="69" t="s">
        <v>373</v>
      </c>
      <c r="D35" s="92">
        <v>3500</v>
      </c>
      <c r="E35" s="69" t="s">
        <v>438</v>
      </c>
      <c r="F35" s="94">
        <v>3500</v>
      </c>
      <c r="G35" s="69" t="s">
        <v>423</v>
      </c>
      <c r="H35" s="108"/>
      <c r="I35" s="64" t="s">
        <v>371</v>
      </c>
    </row>
    <row r="36" spans="1:10" ht="15" x14ac:dyDescent="0.25">
      <c r="A36" s="69" t="s">
        <v>381</v>
      </c>
      <c r="B36" s="92">
        <v>6384064584</v>
      </c>
      <c r="C36" s="69" t="s">
        <v>379</v>
      </c>
      <c r="D36" s="92">
        <v>2000</v>
      </c>
      <c r="E36" s="69" t="s">
        <v>445</v>
      </c>
      <c r="F36" s="94">
        <v>2000</v>
      </c>
      <c r="G36" s="69" t="s">
        <v>423</v>
      </c>
      <c r="H36" s="108"/>
      <c r="I36" s="64"/>
    </row>
    <row r="37" spans="1:10" ht="15" x14ac:dyDescent="0.25">
      <c r="A37" s="69" t="s">
        <v>386</v>
      </c>
      <c r="B37" s="92">
        <v>8870042240</v>
      </c>
      <c r="C37" s="69" t="s">
        <v>399</v>
      </c>
      <c r="D37" s="92">
        <v>4000</v>
      </c>
      <c r="E37" s="69" t="s">
        <v>456</v>
      </c>
      <c r="F37" s="94">
        <v>3500</v>
      </c>
      <c r="G37" s="69" t="s">
        <v>47</v>
      </c>
      <c r="H37" s="108"/>
      <c r="I37" s="64" t="s">
        <v>178</v>
      </c>
    </row>
    <row r="38" spans="1:10" ht="15" x14ac:dyDescent="0.25">
      <c r="A38" s="69" t="s">
        <v>391</v>
      </c>
      <c r="B38" s="92">
        <v>9032291673</v>
      </c>
      <c r="C38" s="69" t="s">
        <v>389</v>
      </c>
      <c r="D38" s="92">
        <v>2200</v>
      </c>
      <c r="E38" s="69" t="s">
        <v>444</v>
      </c>
      <c r="F38" s="94">
        <v>2000</v>
      </c>
      <c r="G38" s="69" t="s">
        <v>423</v>
      </c>
      <c r="H38" s="108"/>
      <c r="I38" s="64"/>
    </row>
    <row r="39" spans="1:10" ht="15" x14ac:dyDescent="0.25">
      <c r="A39" s="69" t="s">
        <v>392</v>
      </c>
      <c r="B39" s="92">
        <v>6374733492</v>
      </c>
      <c r="C39" s="69" t="s">
        <v>389</v>
      </c>
      <c r="D39" s="92">
        <v>5000</v>
      </c>
      <c r="E39" s="69"/>
      <c r="F39" s="94"/>
      <c r="G39" s="69"/>
      <c r="H39" s="108"/>
      <c r="I39" s="64"/>
    </row>
    <row r="40" spans="1:10" ht="15" x14ac:dyDescent="0.25">
      <c r="A40" s="69" t="s">
        <v>395</v>
      </c>
      <c r="B40" s="92">
        <v>9873397964</v>
      </c>
      <c r="C40" s="69" t="s">
        <v>390</v>
      </c>
      <c r="D40" s="92">
        <v>2500</v>
      </c>
      <c r="E40" s="69"/>
      <c r="F40" s="94" t="s">
        <v>346</v>
      </c>
      <c r="G40" s="69"/>
      <c r="H40" s="108" t="s">
        <v>524</v>
      </c>
      <c r="I40" s="64"/>
    </row>
    <row r="41" spans="1:10" ht="15" x14ac:dyDescent="0.25">
      <c r="A41" s="69" t="s">
        <v>419</v>
      </c>
      <c r="B41" s="92">
        <v>9360502638</v>
      </c>
      <c r="C41" s="69" t="s">
        <v>402</v>
      </c>
      <c r="D41" s="92">
        <v>2500</v>
      </c>
      <c r="E41" s="69"/>
      <c r="F41" s="94"/>
      <c r="G41" s="69"/>
      <c r="H41" s="108" t="s">
        <v>532</v>
      </c>
      <c r="I41" s="64" t="s">
        <v>452</v>
      </c>
    </row>
    <row r="42" spans="1:10" ht="15" x14ac:dyDescent="0.25">
      <c r="A42" s="69" t="s">
        <v>420</v>
      </c>
      <c r="B42" s="92">
        <v>9841477377</v>
      </c>
      <c r="C42" s="69" t="s">
        <v>408</v>
      </c>
      <c r="D42" s="92">
        <v>1750</v>
      </c>
      <c r="E42" s="69"/>
      <c r="F42" s="94" t="s">
        <v>458</v>
      </c>
      <c r="G42" s="69"/>
      <c r="H42" s="108"/>
      <c r="I42" s="70" t="s">
        <v>457</v>
      </c>
      <c r="J42" s="35"/>
    </row>
    <row r="43" spans="1:10" ht="15" x14ac:dyDescent="0.25">
      <c r="A43" s="69" t="s">
        <v>426</v>
      </c>
      <c r="B43" s="92">
        <v>6383721663</v>
      </c>
      <c r="C43" s="69" t="s">
        <v>422</v>
      </c>
      <c r="D43" s="92">
        <v>2000</v>
      </c>
      <c r="E43" s="69" t="s">
        <v>422</v>
      </c>
      <c r="F43" s="94">
        <v>2000</v>
      </c>
      <c r="G43" s="69" t="s">
        <v>423</v>
      </c>
      <c r="H43" s="108"/>
      <c r="I43" s="64"/>
    </row>
    <row r="44" spans="1:10" ht="15" x14ac:dyDescent="0.25">
      <c r="A44" s="69" t="s">
        <v>427</v>
      </c>
      <c r="B44" s="92"/>
      <c r="C44" s="69" t="s">
        <v>428</v>
      </c>
      <c r="D44" s="92">
        <v>2000</v>
      </c>
      <c r="E44" s="69" t="s">
        <v>428</v>
      </c>
      <c r="F44" s="94">
        <v>1500</v>
      </c>
      <c r="G44" s="69" t="s">
        <v>9</v>
      </c>
      <c r="H44" s="108"/>
      <c r="I44" s="64" t="s">
        <v>480</v>
      </c>
    </row>
    <row r="45" spans="1:10" x14ac:dyDescent="0.35">
      <c r="A45" s="69" t="s">
        <v>429</v>
      </c>
      <c r="B45" s="92"/>
      <c r="C45" s="69"/>
      <c r="D45" s="92"/>
      <c r="E45" s="69"/>
      <c r="F45" s="94">
        <v>500</v>
      </c>
      <c r="G45" s="69" t="s">
        <v>423</v>
      </c>
      <c r="H45" s="108"/>
      <c r="I45" s="64"/>
    </row>
    <row r="46" spans="1:10" x14ac:dyDescent="0.35">
      <c r="A46" s="69" t="s">
        <v>442</v>
      </c>
      <c r="B46" s="92"/>
      <c r="C46" s="69" t="s">
        <v>433</v>
      </c>
      <c r="D46" s="92">
        <v>2500</v>
      </c>
      <c r="E46" s="69" t="s">
        <v>433</v>
      </c>
      <c r="F46" s="94">
        <v>2700</v>
      </c>
      <c r="G46" s="69" t="s">
        <v>9</v>
      </c>
      <c r="H46" s="108"/>
      <c r="I46" s="64" t="s">
        <v>22</v>
      </c>
    </row>
    <row r="47" spans="1:10" x14ac:dyDescent="0.35">
      <c r="A47" s="69" t="s">
        <v>440</v>
      </c>
      <c r="B47" s="92"/>
      <c r="C47" s="69" t="s">
        <v>441</v>
      </c>
      <c r="D47" s="92">
        <v>2000</v>
      </c>
      <c r="E47" s="69" t="s">
        <v>441</v>
      </c>
      <c r="F47" s="94">
        <v>2000</v>
      </c>
      <c r="G47" s="69" t="s">
        <v>423</v>
      </c>
      <c r="H47" s="108"/>
      <c r="I47" s="64"/>
    </row>
    <row r="48" spans="1:10" x14ac:dyDescent="0.35">
      <c r="A48" s="69" t="s">
        <v>463</v>
      </c>
      <c r="B48" s="92">
        <v>7904409817</v>
      </c>
      <c r="C48" s="69" t="s">
        <v>451</v>
      </c>
      <c r="D48" s="92">
        <v>4500</v>
      </c>
      <c r="E48" s="69" t="s">
        <v>451</v>
      </c>
      <c r="F48" s="94">
        <v>4500</v>
      </c>
      <c r="G48" s="69" t="s">
        <v>9</v>
      </c>
      <c r="H48" s="108"/>
      <c r="I48" s="64" t="s">
        <v>22</v>
      </c>
    </row>
    <row r="49" spans="1:12" x14ac:dyDescent="0.35">
      <c r="A49" s="69" t="s">
        <v>460</v>
      </c>
      <c r="B49" s="92"/>
      <c r="C49" s="69" t="s">
        <v>462</v>
      </c>
      <c r="D49" s="92"/>
      <c r="E49" s="69"/>
      <c r="F49" s="94">
        <v>1000</v>
      </c>
      <c r="G49" s="69" t="s">
        <v>47</v>
      </c>
      <c r="H49" s="108"/>
      <c r="I49" s="64"/>
    </row>
    <row r="50" spans="1:12" x14ac:dyDescent="0.35">
      <c r="A50" s="69" t="s">
        <v>471</v>
      </c>
      <c r="B50" s="92"/>
      <c r="C50" s="69" t="s">
        <v>339</v>
      </c>
      <c r="D50" s="92">
        <v>1800</v>
      </c>
      <c r="E50" s="69"/>
      <c r="F50" s="94"/>
      <c r="G50" s="69"/>
      <c r="H50" s="108"/>
      <c r="I50" s="64"/>
    </row>
    <row r="51" spans="1:12" x14ac:dyDescent="0.35">
      <c r="A51" s="69"/>
      <c r="B51" s="92"/>
      <c r="C51" s="69"/>
      <c r="D51" s="92"/>
      <c r="E51" s="69"/>
      <c r="F51" s="94"/>
      <c r="G51" s="69"/>
      <c r="H51" s="108"/>
      <c r="I51" s="64"/>
    </row>
    <row r="52" spans="1:12" x14ac:dyDescent="0.35">
      <c r="F52" s="18"/>
      <c r="I52" s="64"/>
    </row>
    <row r="53" spans="1:12" x14ac:dyDescent="0.35">
      <c r="F53" s="18"/>
      <c r="I53" s="64"/>
    </row>
    <row r="54" spans="1:12" x14ac:dyDescent="0.35">
      <c r="F54" s="18"/>
      <c r="I54" s="64"/>
    </row>
    <row r="55" spans="1:12" x14ac:dyDescent="0.35">
      <c r="C55" s="20" t="s">
        <v>66</v>
      </c>
      <c r="D55" s="20"/>
      <c r="F55" s="18"/>
      <c r="I55" s="64"/>
    </row>
    <row r="56" spans="1:12" x14ac:dyDescent="0.35">
      <c r="D56" s="19"/>
      <c r="E56" s="19"/>
      <c r="F56" s="19"/>
      <c r="G56" s="19"/>
      <c r="H56" s="19"/>
      <c r="I56" s="64"/>
    </row>
    <row r="57" spans="1:12" x14ac:dyDescent="0.35">
      <c r="A57" s="69"/>
      <c r="B57" s="69"/>
      <c r="C57" s="68" t="s">
        <v>88</v>
      </c>
      <c r="D57" s="68" t="s">
        <v>82</v>
      </c>
      <c r="E57" s="68" t="s">
        <v>89</v>
      </c>
      <c r="F57" s="68" t="s">
        <v>468</v>
      </c>
      <c r="G57" s="68" t="s">
        <v>469</v>
      </c>
      <c r="H57" s="68" t="s">
        <v>470</v>
      </c>
      <c r="I57" s="68" t="s">
        <v>84</v>
      </c>
      <c r="J57" s="68" t="s">
        <v>189</v>
      </c>
      <c r="K57" s="101"/>
    </row>
    <row r="58" spans="1:12" x14ac:dyDescent="0.35">
      <c r="A58" s="69"/>
      <c r="B58" s="69"/>
      <c r="C58" s="68"/>
      <c r="D58" s="68"/>
      <c r="E58" s="68"/>
      <c r="F58" s="68"/>
      <c r="G58" s="68"/>
      <c r="H58" s="68"/>
      <c r="I58" s="68"/>
      <c r="J58" s="68"/>
      <c r="K58" s="101"/>
    </row>
    <row r="59" spans="1:12" x14ac:dyDescent="0.35">
      <c r="A59" s="69" t="s">
        <v>187</v>
      </c>
      <c r="B59" s="69"/>
      <c r="C59" s="68" t="s">
        <v>450</v>
      </c>
      <c r="D59" s="68">
        <v>84</v>
      </c>
      <c r="E59" s="68">
        <v>25600</v>
      </c>
      <c r="F59" s="68">
        <v>2304</v>
      </c>
      <c r="G59" s="68">
        <v>2304</v>
      </c>
      <c r="H59" s="68"/>
      <c r="I59" s="68">
        <v>30208</v>
      </c>
      <c r="J59" s="101" t="s">
        <v>190</v>
      </c>
      <c r="K59" s="101" t="s">
        <v>435</v>
      </c>
    </row>
    <row r="60" spans="1:12" x14ac:dyDescent="0.35">
      <c r="A60" s="69" t="s">
        <v>342</v>
      </c>
      <c r="B60" s="69"/>
      <c r="C60" s="68" t="s">
        <v>464</v>
      </c>
      <c r="D60" s="68">
        <v>85</v>
      </c>
      <c r="E60" s="68">
        <v>600</v>
      </c>
      <c r="F60" s="68">
        <v>54</v>
      </c>
      <c r="G60" s="68">
        <v>54</v>
      </c>
      <c r="H60" s="68"/>
      <c r="I60" s="68">
        <v>708</v>
      </c>
      <c r="J60" s="101" t="s">
        <v>214</v>
      </c>
      <c r="K60" s="101" t="s">
        <v>476</v>
      </c>
      <c r="L60" t="s">
        <v>6</v>
      </c>
    </row>
    <row r="61" spans="1:12" x14ac:dyDescent="0.35">
      <c r="A61" s="69" t="s">
        <v>416</v>
      </c>
      <c r="B61" s="69"/>
      <c r="C61" s="68" t="s">
        <v>464</v>
      </c>
      <c r="D61" s="68">
        <v>86</v>
      </c>
      <c r="E61" s="68">
        <v>14500</v>
      </c>
      <c r="F61" s="68">
        <v>1305</v>
      </c>
      <c r="G61" s="68">
        <v>1305</v>
      </c>
      <c r="H61" s="68"/>
      <c r="I61" s="68">
        <v>17110</v>
      </c>
      <c r="J61" s="101" t="s">
        <v>211</v>
      </c>
      <c r="K61" s="101" t="s">
        <v>425</v>
      </c>
    </row>
    <row r="62" spans="1:12" x14ac:dyDescent="0.35">
      <c r="A62" s="69" t="s">
        <v>341</v>
      </c>
      <c r="B62" s="69"/>
      <c r="C62" s="68" t="s">
        <v>465</v>
      </c>
      <c r="D62" s="68">
        <v>87</v>
      </c>
      <c r="E62" s="68">
        <v>11675</v>
      </c>
      <c r="F62" s="68">
        <v>1050.75</v>
      </c>
      <c r="G62" s="68">
        <v>1050.75</v>
      </c>
      <c r="H62" s="68"/>
      <c r="I62" s="68">
        <v>13776.5</v>
      </c>
      <c r="J62" s="101" t="s">
        <v>191</v>
      </c>
      <c r="K62" s="101" t="s">
        <v>593</v>
      </c>
    </row>
    <row r="63" spans="1:12" x14ac:dyDescent="0.35">
      <c r="A63" s="69" t="s">
        <v>434</v>
      </c>
      <c r="B63" s="69"/>
      <c r="C63" s="68" t="s">
        <v>465</v>
      </c>
      <c r="D63" s="68">
        <v>88</v>
      </c>
      <c r="E63" s="68">
        <v>13049</v>
      </c>
      <c r="F63" s="68">
        <v>1174.4100000000001</v>
      </c>
      <c r="G63" s="68">
        <v>1174.4100000000001</v>
      </c>
      <c r="H63" s="68"/>
      <c r="I63" s="68">
        <v>15397.82</v>
      </c>
      <c r="J63" s="101" t="s">
        <v>335</v>
      </c>
      <c r="K63" s="101" t="s">
        <v>436</v>
      </c>
    </row>
    <row r="64" spans="1:12" x14ac:dyDescent="0.35">
      <c r="A64" s="69" t="s">
        <v>409</v>
      </c>
      <c r="B64" s="69"/>
      <c r="C64" s="68" t="s">
        <v>465</v>
      </c>
      <c r="D64" s="68">
        <v>89</v>
      </c>
      <c r="E64" s="68">
        <v>33196</v>
      </c>
      <c r="F64" s="68">
        <v>2987.64</v>
      </c>
      <c r="G64" s="68">
        <v>2987.64</v>
      </c>
      <c r="H64" s="68"/>
      <c r="I64" s="68">
        <v>39171.279999999999</v>
      </c>
      <c r="J64" s="60" t="s">
        <v>233</v>
      </c>
      <c r="K64" s="101" t="s">
        <v>487</v>
      </c>
    </row>
    <row r="65" spans="1:12" x14ac:dyDescent="0.35">
      <c r="A65" s="69" t="s">
        <v>289</v>
      </c>
      <c r="B65" s="69"/>
      <c r="C65" s="68" t="s">
        <v>465</v>
      </c>
      <c r="D65" s="68">
        <v>90</v>
      </c>
      <c r="E65" s="68">
        <v>32600</v>
      </c>
      <c r="F65" s="68">
        <v>2934</v>
      </c>
      <c r="G65" s="68">
        <v>2934</v>
      </c>
      <c r="H65" s="68"/>
      <c r="I65" s="68">
        <v>38468</v>
      </c>
      <c r="J65" s="101" t="s">
        <v>192</v>
      </c>
      <c r="K65" s="101" t="s">
        <v>436</v>
      </c>
    </row>
    <row r="66" spans="1:12" x14ac:dyDescent="0.35">
      <c r="A66" s="69" t="s">
        <v>70</v>
      </c>
      <c r="B66" s="69"/>
      <c r="C66" s="68" t="s">
        <v>421</v>
      </c>
      <c r="D66" s="68">
        <v>91</v>
      </c>
      <c r="E66" s="68">
        <v>7000</v>
      </c>
      <c r="F66" s="68">
        <v>630</v>
      </c>
      <c r="G66" s="68">
        <v>630</v>
      </c>
      <c r="H66" s="68"/>
      <c r="I66" s="68">
        <v>8260</v>
      </c>
      <c r="J66" s="101" t="s">
        <v>213</v>
      </c>
      <c r="K66" s="101" t="s">
        <v>640</v>
      </c>
      <c r="L66" t="s">
        <v>641</v>
      </c>
    </row>
    <row r="67" spans="1:12" x14ac:dyDescent="0.35">
      <c r="A67" s="69" t="s">
        <v>417</v>
      </c>
      <c r="B67" s="69"/>
      <c r="C67" s="68" t="s">
        <v>421</v>
      </c>
      <c r="D67" s="68">
        <v>92</v>
      </c>
      <c r="E67" s="68">
        <v>5000</v>
      </c>
      <c r="F67" s="68">
        <v>450</v>
      </c>
      <c r="G67" s="68">
        <v>450</v>
      </c>
      <c r="H67" s="68"/>
      <c r="I67" s="68">
        <v>5900</v>
      </c>
      <c r="J67" s="101" t="s">
        <v>235</v>
      </c>
      <c r="K67" s="101"/>
    </row>
    <row r="68" spans="1:12" x14ac:dyDescent="0.35">
      <c r="A68" s="69" t="s">
        <v>361</v>
      </c>
      <c r="B68" s="69"/>
      <c r="C68" s="68" t="s">
        <v>421</v>
      </c>
      <c r="D68" s="68">
        <v>93</v>
      </c>
      <c r="E68" s="68">
        <v>4200</v>
      </c>
      <c r="F68" s="68">
        <v>378</v>
      </c>
      <c r="G68" s="68">
        <v>378</v>
      </c>
      <c r="H68" s="68"/>
      <c r="I68" s="68">
        <v>4956</v>
      </c>
      <c r="J68" s="68" t="s">
        <v>284</v>
      </c>
      <c r="K68" s="101" t="s">
        <v>437</v>
      </c>
    </row>
    <row r="69" spans="1:12" x14ac:dyDescent="0.35">
      <c r="A69" s="69" t="s">
        <v>406</v>
      </c>
      <c r="B69" s="69">
        <v>8428000331</v>
      </c>
      <c r="C69" s="92" t="s">
        <v>422</v>
      </c>
      <c r="D69" s="68">
        <v>94</v>
      </c>
      <c r="E69" s="68">
        <v>1272</v>
      </c>
      <c r="F69" s="68">
        <v>114.48</v>
      </c>
      <c r="G69" s="68">
        <v>114.48</v>
      </c>
      <c r="H69" s="68"/>
      <c r="I69" s="68">
        <v>1500.96</v>
      </c>
      <c r="J69" s="68" t="s">
        <v>413</v>
      </c>
      <c r="K69" s="101" t="s">
        <v>490</v>
      </c>
    </row>
    <row r="70" spans="1:12" x14ac:dyDescent="0.35">
      <c r="A70" s="69" t="s">
        <v>405</v>
      </c>
      <c r="B70" s="69"/>
      <c r="C70" s="68" t="s">
        <v>446</v>
      </c>
      <c r="D70" s="68">
        <v>95</v>
      </c>
      <c r="E70" s="68">
        <v>1400</v>
      </c>
      <c r="F70" s="68">
        <v>126</v>
      </c>
      <c r="G70" s="68">
        <v>126</v>
      </c>
      <c r="H70" s="68"/>
      <c r="I70" s="68">
        <v>1652</v>
      </c>
      <c r="J70" s="68" t="s">
        <v>333</v>
      </c>
      <c r="K70" s="101"/>
    </row>
    <row r="71" spans="1:12" x14ac:dyDescent="0.35">
      <c r="A71" s="69" t="s">
        <v>397</v>
      </c>
      <c r="B71" s="69"/>
      <c r="C71" s="68" t="s">
        <v>446</v>
      </c>
      <c r="D71" s="68">
        <v>96</v>
      </c>
      <c r="E71" s="68">
        <v>2600</v>
      </c>
      <c r="F71" s="68">
        <v>234</v>
      </c>
      <c r="G71" s="68">
        <v>234</v>
      </c>
      <c r="H71" s="68"/>
      <c r="I71" s="68">
        <v>3068</v>
      </c>
      <c r="J71" s="101" t="s">
        <v>283</v>
      </c>
      <c r="K71" s="101" t="s">
        <v>555</v>
      </c>
      <c r="L71">
        <v>32396.9</v>
      </c>
    </row>
    <row r="72" spans="1:12" x14ac:dyDescent="0.35">
      <c r="A72" s="69" t="s">
        <v>385</v>
      </c>
      <c r="B72" s="69">
        <v>9952955111</v>
      </c>
      <c r="C72" s="92" t="s">
        <v>446</v>
      </c>
      <c r="D72" s="68">
        <v>97</v>
      </c>
      <c r="E72" s="68">
        <v>2000</v>
      </c>
      <c r="F72" s="68">
        <v>180</v>
      </c>
      <c r="G72" s="68">
        <v>180</v>
      </c>
      <c r="H72" s="68"/>
      <c r="I72" s="68">
        <v>2360</v>
      </c>
      <c r="J72" s="68" t="s">
        <v>410</v>
      </c>
      <c r="K72" s="101" t="s">
        <v>708</v>
      </c>
    </row>
    <row r="73" spans="1:12" x14ac:dyDescent="0.35">
      <c r="A73" s="69" t="s">
        <v>454</v>
      </c>
      <c r="B73" s="69"/>
      <c r="C73" s="92" t="s">
        <v>451</v>
      </c>
      <c r="D73" s="68">
        <v>98</v>
      </c>
      <c r="E73" s="68">
        <v>2100</v>
      </c>
      <c r="F73" s="68"/>
      <c r="G73" s="68"/>
      <c r="H73" s="68">
        <v>378</v>
      </c>
      <c r="I73" s="68">
        <v>2478</v>
      </c>
      <c r="J73" s="68" t="s">
        <v>334</v>
      </c>
      <c r="K73" s="101" t="s">
        <v>487</v>
      </c>
    </row>
    <row r="74" spans="1:12" x14ac:dyDescent="0.35">
      <c r="A74" s="69" t="s">
        <v>459</v>
      </c>
      <c r="B74" s="69">
        <v>9941205562</v>
      </c>
      <c r="C74" s="68" t="s">
        <v>466</v>
      </c>
      <c r="D74" s="68">
        <v>99</v>
      </c>
      <c r="E74" s="68">
        <v>2000</v>
      </c>
      <c r="F74" s="68">
        <v>180</v>
      </c>
      <c r="G74" s="68">
        <v>180</v>
      </c>
      <c r="H74" s="68"/>
      <c r="I74" s="68">
        <v>2360</v>
      </c>
      <c r="J74" s="68" t="s">
        <v>467</v>
      </c>
      <c r="K74" s="101" t="s">
        <v>719</v>
      </c>
    </row>
    <row r="75" spans="1:12" x14ac:dyDescent="0.35">
      <c r="A75" s="69"/>
      <c r="B75" s="69"/>
      <c r="C75" s="68"/>
      <c r="D75" s="68"/>
      <c r="E75" s="68"/>
      <c r="F75" s="68"/>
      <c r="G75" s="68"/>
      <c r="H75" s="68"/>
      <c r="I75" s="68"/>
      <c r="J75" s="68"/>
      <c r="K75" s="101"/>
    </row>
    <row r="76" spans="1:12" x14ac:dyDescent="0.35">
      <c r="A76" s="69"/>
      <c r="B76" s="69"/>
      <c r="C76" s="68"/>
      <c r="D76" s="68"/>
      <c r="E76" s="68"/>
      <c r="F76" s="68"/>
      <c r="G76" s="68"/>
      <c r="H76" s="68"/>
      <c r="I76" s="68"/>
      <c r="J76" s="68"/>
      <c r="K76" s="101"/>
    </row>
    <row r="77" spans="1:12" x14ac:dyDescent="0.35">
      <c r="A77" s="69"/>
      <c r="B77" s="69"/>
      <c r="C77" s="68"/>
      <c r="D77" s="68"/>
      <c r="E77" s="68"/>
      <c r="F77" s="68"/>
      <c r="G77" s="68"/>
      <c r="H77" s="68"/>
      <c r="I77" s="68"/>
      <c r="J77" s="68"/>
      <c r="K77" s="101"/>
    </row>
    <row r="78" spans="1:12" x14ac:dyDescent="0.35">
      <c r="A78" s="69"/>
      <c r="B78" s="69"/>
      <c r="C78" s="68"/>
      <c r="D78" s="68"/>
      <c r="E78" s="107">
        <v>158792</v>
      </c>
      <c r="F78" s="107">
        <v>14102.28</v>
      </c>
      <c r="G78" s="107">
        <v>14102.28</v>
      </c>
      <c r="H78" s="107">
        <v>378</v>
      </c>
      <c r="I78" s="107">
        <v>187374.56</v>
      </c>
      <c r="J78" s="107"/>
      <c r="K78" s="101"/>
    </row>
    <row r="79" spans="1:12" x14ac:dyDescent="0.35">
      <c r="A79" s="69"/>
      <c r="B79" s="69"/>
      <c r="C79" s="68"/>
      <c r="D79" s="68"/>
      <c r="E79" s="68"/>
      <c r="F79" s="68"/>
      <c r="G79" s="68"/>
      <c r="H79" s="68"/>
      <c r="I79" s="68"/>
      <c r="J79" s="68"/>
      <c r="K79" s="101"/>
    </row>
    <row r="80" spans="1:12" x14ac:dyDescent="0.35">
      <c r="A80" s="69"/>
      <c r="B80" s="69"/>
      <c r="C80" s="68"/>
      <c r="D80" s="68"/>
      <c r="E80" s="68"/>
      <c r="F80" s="68"/>
      <c r="G80" s="68"/>
      <c r="H80" s="68"/>
      <c r="I80" s="68"/>
      <c r="J80" s="68"/>
      <c r="K80" s="101"/>
    </row>
    <row r="81" spans="1:11" x14ac:dyDescent="0.35">
      <c r="A81" s="69"/>
      <c r="B81" s="69"/>
      <c r="C81" s="68"/>
      <c r="D81" s="68"/>
      <c r="E81" s="68"/>
      <c r="F81" s="68"/>
      <c r="G81" s="68"/>
      <c r="H81" s="68"/>
      <c r="I81" s="68"/>
      <c r="J81" s="68"/>
      <c r="K81" s="101"/>
    </row>
    <row r="82" spans="1:11" x14ac:dyDescent="0.35">
      <c r="A82" s="69"/>
      <c r="B82" s="69"/>
      <c r="C82" s="69"/>
      <c r="D82" s="68"/>
      <c r="E82" s="68"/>
      <c r="F82" s="68"/>
      <c r="G82" s="68"/>
      <c r="H82" s="68"/>
      <c r="I82" s="68"/>
      <c r="J82" s="101"/>
      <c r="K82" s="102"/>
    </row>
    <row r="83" spans="1:11" x14ac:dyDescent="0.35">
      <c r="A83" s="69"/>
      <c r="B83" s="69"/>
      <c r="C83" s="69"/>
      <c r="D83" s="68"/>
      <c r="E83" s="68"/>
      <c r="F83" s="68"/>
      <c r="G83" s="68"/>
      <c r="H83" s="68"/>
      <c r="I83" s="68"/>
      <c r="J83" s="101"/>
      <c r="K83" s="102"/>
    </row>
    <row r="84" spans="1:11" x14ac:dyDescent="0.35">
      <c r="A84" s="69"/>
      <c r="B84" s="92"/>
      <c r="C84" s="69"/>
      <c r="D84" s="68"/>
      <c r="E84" s="68"/>
      <c r="F84" s="68"/>
      <c r="G84" s="68"/>
      <c r="H84" s="68"/>
      <c r="I84" s="68"/>
      <c r="J84" s="101"/>
      <c r="K84" s="102"/>
    </row>
    <row r="85" spans="1:11" x14ac:dyDescent="0.35">
      <c r="A85" s="69"/>
      <c r="B85" s="92"/>
      <c r="C85" s="69"/>
      <c r="D85" s="68"/>
      <c r="E85" s="68"/>
      <c r="F85" s="68"/>
      <c r="G85" s="68"/>
      <c r="H85" s="68"/>
      <c r="I85" s="68"/>
      <c r="J85" s="101"/>
      <c r="K85" s="102"/>
    </row>
    <row r="86" spans="1:11" x14ac:dyDescent="0.35">
      <c r="A86" s="69"/>
      <c r="B86" s="92"/>
      <c r="C86" s="69"/>
      <c r="D86" s="68"/>
      <c r="E86" s="68"/>
      <c r="F86" s="68"/>
      <c r="G86" s="68"/>
      <c r="H86" s="68"/>
      <c r="I86" s="68"/>
      <c r="J86" s="101"/>
      <c r="K86" s="102"/>
    </row>
    <row r="87" spans="1:11" x14ac:dyDescent="0.35">
      <c r="A87" s="69"/>
      <c r="B87" s="92"/>
      <c r="C87" s="69"/>
      <c r="D87" s="68"/>
      <c r="E87" s="68"/>
      <c r="F87" s="68"/>
      <c r="G87" s="68"/>
      <c r="H87" s="68"/>
      <c r="I87" s="68"/>
      <c r="J87" s="101"/>
      <c r="K87" s="103"/>
    </row>
    <row r="88" spans="1:11" x14ac:dyDescent="0.35">
      <c r="A88" s="69"/>
      <c r="B88" s="92"/>
      <c r="C88" s="69"/>
      <c r="D88" s="68"/>
      <c r="E88" s="68"/>
      <c r="F88" s="68"/>
      <c r="G88" s="68"/>
      <c r="H88" s="68"/>
      <c r="I88" s="68"/>
      <c r="J88" s="101"/>
      <c r="K88" s="102"/>
    </row>
    <row r="89" spans="1:11" x14ac:dyDescent="0.35">
      <c r="A89" s="69"/>
      <c r="B89" s="92"/>
      <c r="C89" s="69"/>
      <c r="D89" s="68"/>
      <c r="E89" s="68"/>
      <c r="F89" s="68"/>
      <c r="G89" s="68"/>
      <c r="H89" s="68"/>
      <c r="I89" s="68"/>
      <c r="J89" s="101"/>
      <c r="K89" s="102"/>
    </row>
    <row r="90" spans="1:11" x14ac:dyDescent="0.35">
      <c r="A90" s="69"/>
      <c r="B90" s="92"/>
      <c r="C90" s="104"/>
      <c r="D90" s="68"/>
      <c r="E90" s="68"/>
      <c r="F90" s="68"/>
      <c r="G90" s="68"/>
      <c r="H90" s="68"/>
      <c r="I90" s="68"/>
      <c r="J90" s="68"/>
      <c r="K90" s="102"/>
    </row>
    <row r="91" spans="1:11" x14ac:dyDescent="0.35">
      <c r="A91" s="69"/>
      <c r="B91" s="92"/>
      <c r="C91" s="92"/>
      <c r="D91" s="68"/>
      <c r="E91" s="68"/>
      <c r="F91" s="68"/>
      <c r="G91" s="68"/>
      <c r="H91" s="68"/>
      <c r="I91" s="68"/>
      <c r="J91" s="68"/>
      <c r="K91" s="102"/>
    </row>
    <row r="92" spans="1:11" x14ac:dyDescent="0.35">
      <c r="A92" s="69"/>
      <c r="B92" s="69"/>
      <c r="C92" s="69"/>
      <c r="D92" s="68"/>
      <c r="E92" s="68"/>
      <c r="F92" s="68"/>
      <c r="G92" s="68"/>
      <c r="H92" s="68"/>
      <c r="I92" s="68"/>
      <c r="J92" s="101"/>
      <c r="K92" s="102"/>
    </row>
    <row r="93" spans="1:11" x14ac:dyDescent="0.35">
      <c r="A93" s="69"/>
      <c r="B93" s="69"/>
      <c r="C93" s="69"/>
      <c r="D93" s="68"/>
      <c r="E93" s="68"/>
      <c r="F93" s="68"/>
      <c r="G93" s="68"/>
      <c r="H93" s="68"/>
      <c r="I93" s="68"/>
      <c r="J93" s="101"/>
      <c r="K93" s="102"/>
    </row>
    <row r="94" spans="1:11" x14ac:dyDescent="0.35">
      <c r="A94" s="69"/>
      <c r="B94" s="69"/>
      <c r="C94" s="69"/>
      <c r="D94" s="68"/>
      <c r="E94" s="68"/>
      <c r="F94" s="68"/>
      <c r="G94" s="68"/>
      <c r="H94" s="68"/>
      <c r="I94" s="68"/>
      <c r="J94" s="101"/>
      <c r="K94" s="102"/>
    </row>
    <row r="95" spans="1:11" x14ac:dyDescent="0.35">
      <c r="A95" s="69"/>
      <c r="B95" s="69"/>
      <c r="C95" s="69"/>
      <c r="D95" s="68"/>
      <c r="E95" s="68"/>
      <c r="F95" s="68"/>
      <c r="G95" s="68"/>
      <c r="H95" s="68"/>
      <c r="I95" s="68"/>
      <c r="J95" s="101"/>
      <c r="K95" s="102"/>
    </row>
    <row r="96" spans="1:11" x14ac:dyDescent="0.35">
      <c r="A96" s="69"/>
      <c r="B96" s="69"/>
      <c r="C96" s="69"/>
      <c r="D96" s="68"/>
      <c r="E96" s="68"/>
      <c r="F96" s="68"/>
      <c r="G96" s="68"/>
      <c r="H96" s="68"/>
      <c r="I96" s="68"/>
      <c r="J96" s="101"/>
      <c r="K96" s="102"/>
    </row>
    <row r="97" spans="1:11" x14ac:dyDescent="0.35">
      <c r="A97" s="69"/>
      <c r="B97" s="69"/>
      <c r="C97" s="69"/>
      <c r="D97" s="68"/>
      <c r="E97" s="68"/>
      <c r="F97" s="68"/>
      <c r="G97" s="68"/>
      <c r="H97" s="68"/>
      <c r="I97" s="68"/>
      <c r="J97" s="101"/>
      <c r="K97" s="102"/>
    </row>
    <row r="98" spans="1:11" x14ac:dyDescent="0.35">
      <c r="A98" s="69"/>
      <c r="B98" s="69"/>
      <c r="C98" s="69"/>
      <c r="D98" s="68"/>
      <c r="E98" s="68"/>
      <c r="F98" s="68"/>
      <c r="G98" s="68"/>
      <c r="H98" s="68"/>
      <c r="I98" s="68"/>
      <c r="J98" s="101"/>
      <c r="K98" s="102"/>
    </row>
    <row r="99" spans="1:11" x14ac:dyDescent="0.35">
      <c r="A99" s="69"/>
      <c r="B99" s="69"/>
      <c r="C99" s="69"/>
      <c r="D99" s="68"/>
      <c r="E99" s="68"/>
      <c r="F99" s="68"/>
      <c r="G99" s="68"/>
      <c r="H99" s="68"/>
      <c r="I99" s="68"/>
      <c r="J99" s="101"/>
      <c r="K99" s="102"/>
    </row>
    <row r="100" spans="1:11" x14ac:dyDescent="0.35">
      <c r="A100" s="69"/>
      <c r="B100" s="92"/>
      <c r="C100" s="69"/>
      <c r="D100" s="68"/>
      <c r="E100" s="68"/>
      <c r="F100" s="68"/>
      <c r="G100" s="68"/>
      <c r="H100" s="68"/>
      <c r="I100" s="68"/>
      <c r="J100" s="101"/>
      <c r="K100" s="102"/>
    </row>
    <row r="101" spans="1:11" x14ac:dyDescent="0.35">
      <c r="A101" s="69"/>
      <c r="B101" s="92"/>
      <c r="C101" s="69"/>
      <c r="D101" s="68"/>
      <c r="E101" s="68"/>
      <c r="F101" s="68"/>
      <c r="G101" s="68"/>
      <c r="H101" s="68"/>
      <c r="I101" s="68"/>
      <c r="J101" s="101"/>
      <c r="K101" s="102"/>
    </row>
    <row r="102" spans="1:11" x14ac:dyDescent="0.35">
      <c r="A102" s="69"/>
      <c r="B102" s="92"/>
      <c r="C102" s="69"/>
      <c r="D102" s="68"/>
      <c r="E102" s="68"/>
      <c r="F102" s="68"/>
      <c r="G102" s="68"/>
      <c r="H102" s="68"/>
      <c r="I102" s="68"/>
      <c r="J102" s="101"/>
      <c r="K102" s="102"/>
    </row>
    <row r="103" spans="1:11" x14ac:dyDescent="0.35">
      <c r="A103" s="69"/>
      <c r="B103" s="92"/>
      <c r="C103" s="69"/>
      <c r="D103" s="68"/>
      <c r="E103" s="68"/>
      <c r="F103" s="68"/>
      <c r="G103" s="68"/>
      <c r="H103" s="68"/>
      <c r="I103" s="68"/>
      <c r="J103" s="101"/>
      <c r="K103" s="101"/>
    </row>
    <row r="104" spans="1:11" x14ac:dyDescent="0.35">
      <c r="A104" s="69"/>
      <c r="B104" s="92"/>
      <c r="C104" s="69"/>
      <c r="D104" s="68"/>
      <c r="E104" s="68"/>
      <c r="F104" s="68"/>
      <c r="G104" s="68"/>
      <c r="H104" s="68"/>
      <c r="I104" s="68"/>
      <c r="J104" s="101"/>
      <c r="K104" s="102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selection activeCell="F31" sqref="F31"/>
    </sheetView>
  </sheetViews>
  <sheetFormatPr defaultRowHeight="14.5" x14ac:dyDescent="0.35"/>
  <cols>
    <col min="1" max="1" width="60.7265625" customWidth="1"/>
    <col min="2" max="2" width="15.7265625" bestFit="1" customWidth="1"/>
    <col min="3" max="3" width="13" customWidth="1"/>
    <col min="4" max="4" width="14" customWidth="1"/>
    <col min="5" max="5" width="14.26953125" bestFit="1" customWidth="1"/>
    <col min="6" max="6" width="12.81640625" customWidth="1"/>
    <col min="7" max="7" width="11.81640625" customWidth="1"/>
    <col min="8" max="8" width="13.1796875" customWidth="1"/>
    <col min="9" max="9" width="16.7265625" customWidth="1"/>
    <col min="10" max="10" width="26" bestFit="1" customWidth="1"/>
    <col min="11" max="11" width="14.54296875" bestFit="1" customWidth="1"/>
  </cols>
  <sheetData>
    <row r="1" spans="1:11" ht="18.75" x14ac:dyDescent="0.3">
      <c r="A1" s="21"/>
      <c r="B1" s="21"/>
      <c r="C1" s="21"/>
      <c r="D1" s="21"/>
      <c r="E1" s="22"/>
      <c r="F1" s="21"/>
      <c r="G1" s="21"/>
      <c r="H1" s="21"/>
      <c r="I1" s="21"/>
      <c r="J1" s="21"/>
      <c r="K1" s="21"/>
    </row>
    <row r="2" spans="1:11" ht="18.75" x14ac:dyDescent="0.3">
      <c r="A2" s="3" t="s">
        <v>0</v>
      </c>
      <c r="B2" s="5">
        <v>7299917887</v>
      </c>
      <c r="C2" s="3"/>
      <c r="D2" s="5">
        <v>14500</v>
      </c>
      <c r="E2" s="5"/>
      <c r="F2" s="79"/>
      <c r="G2" s="3"/>
      <c r="H2" s="46"/>
      <c r="I2" s="21"/>
      <c r="J2" s="21"/>
      <c r="K2" s="21"/>
    </row>
    <row r="3" spans="1:11" ht="18.75" x14ac:dyDescent="0.3">
      <c r="A3" s="3" t="s">
        <v>36</v>
      </c>
      <c r="B3" s="3">
        <v>7904401435</v>
      </c>
      <c r="C3" s="3" t="s">
        <v>23</v>
      </c>
      <c r="D3" s="5">
        <v>1750</v>
      </c>
      <c r="E3" s="5" t="s">
        <v>493</v>
      </c>
      <c r="F3" s="80">
        <v>2000</v>
      </c>
      <c r="G3" s="3" t="s">
        <v>423</v>
      </c>
      <c r="H3" s="23" t="s">
        <v>494</v>
      </c>
      <c r="I3" s="23"/>
      <c r="J3" s="21"/>
      <c r="K3" s="21"/>
    </row>
    <row r="4" spans="1:11" ht="18.75" x14ac:dyDescent="0.3">
      <c r="A4" s="8" t="s">
        <v>248</v>
      </c>
      <c r="B4" s="5">
        <v>7550283099</v>
      </c>
      <c r="C4" s="3" t="s">
        <v>44</v>
      </c>
      <c r="D4" s="58">
        <v>6850</v>
      </c>
      <c r="E4" s="5" t="s">
        <v>490</v>
      </c>
      <c r="F4" s="80">
        <v>6850</v>
      </c>
      <c r="G4" s="3" t="s">
        <v>2</v>
      </c>
      <c r="H4" s="46"/>
      <c r="I4" s="21"/>
      <c r="J4" s="21"/>
      <c r="K4" s="21"/>
    </row>
    <row r="5" spans="1:11" ht="18.75" x14ac:dyDescent="0.3">
      <c r="A5" s="8" t="s">
        <v>45</v>
      </c>
      <c r="B5" s="5">
        <v>7904622354</v>
      </c>
      <c r="C5" s="3" t="s">
        <v>46</v>
      </c>
      <c r="D5" s="5">
        <v>3200</v>
      </c>
      <c r="E5" s="5" t="s">
        <v>511</v>
      </c>
      <c r="F5" s="80">
        <v>3200</v>
      </c>
      <c r="G5" s="3" t="s">
        <v>423</v>
      </c>
      <c r="H5" s="46"/>
      <c r="I5" s="21"/>
      <c r="J5" s="3"/>
      <c r="K5" s="21"/>
    </row>
    <row r="6" spans="1:11" ht="18.75" x14ac:dyDescent="0.3">
      <c r="A6" s="3" t="s">
        <v>60</v>
      </c>
      <c r="B6" s="5">
        <v>8925124442</v>
      </c>
      <c r="C6" s="3"/>
      <c r="D6" s="5">
        <v>3500</v>
      </c>
      <c r="E6" s="5" t="s">
        <v>511</v>
      </c>
      <c r="F6" s="80">
        <v>9000</v>
      </c>
      <c r="G6" s="3" t="s">
        <v>2</v>
      </c>
      <c r="H6" s="46"/>
      <c r="I6" s="21"/>
      <c r="J6" s="21"/>
      <c r="K6" s="110"/>
    </row>
    <row r="7" spans="1:11" ht="18.75" x14ac:dyDescent="0.3">
      <c r="A7" s="3" t="s">
        <v>223</v>
      </c>
      <c r="B7" s="5">
        <v>8148141825</v>
      </c>
      <c r="C7" s="3" t="s">
        <v>129</v>
      </c>
      <c r="D7" s="48">
        <v>1600</v>
      </c>
      <c r="E7" s="58" t="s">
        <v>523</v>
      </c>
      <c r="F7" s="80">
        <v>3200</v>
      </c>
      <c r="G7" s="3" t="s">
        <v>423</v>
      </c>
      <c r="H7" s="46"/>
      <c r="I7" s="110"/>
      <c r="J7" s="21"/>
      <c r="K7" s="21"/>
    </row>
    <row r="8" spans="1:11" ht="18.75" x14ac:dyDescent="0.3">
      <c r="A8" s="3" t="s">
        <v>160</v>
      </c>
      <c r="B8" s="5">
        <v>8825663180</v>
      </c>
      <c r="C8" s="3" t="s">
        <v>161</v>
      </c>
      <c r="D8" s="5">
        <v>1750</v>
      </c>
      <c r="E8" s="5" t="s">
        <v>511</v>
      </c>
      <c r="F8" s="80">
        <v>1750</v>
      </c>
      <c r="G8" s="3" t="s">
        <v>423</v>
      </c>
      <c r="H8" s="46"/>
      <c r="I8" s="21"/>
      <c r="J8" s="21"/>
      <c r="K8" s="21"/>
    </row>
    <row r="9" spans="1:11" ht="18.75" x14ac:dyDescent="0.3">
      <c r="A9" s="3" t="s">
        <v>194</v>
      </c>
      <c r="B9" s="5">
        <v>9941351728</v>
      </c>
      <c r="C9" s="3" t="s">
        <v>195</v>
      </c>
      <c r="D9" s="5">
        <v>3500</v>
      </c>
      <c r="E9" s="5" t="s">
        <v>492</v>
      </c>
      <c r="F9" s="80">
        <v>3500</v>
      </c>
      <c r="G9" s="3" t="s">
        <v>51</v>
      </c>
      <c r="H9" s="46"/>
      <c r="I9" s="21"/>
      <c r="J9" s="21"/>
      <c r="K9" s="21"/>
    </row>
    <row r="10" spans="1:11" ht="18.75" x14ac:dyDescent="0.3">
      <c r="A10" s="3" t="s">
        <v>7</v>
      </c>
      <c r="B10" s="5">
        <v>9840168557</v>
      </c>
      <c r="C10" s="3" t="s">
        <v>208</v>
      </c>
      <c r="D10" s="5">
        <v>4000</v>
      </c>
      <c r="E10" s="5" t="s">
        <v>511</v>
      </c>
      <c r="F10" s="80">
        <v>8000</v>
      </c>
      <c r="G10" s="3" t="s">
        <v>51</v>
      </c>
      <c r="H10" s="21" t="s">
        <v>516</v>
      </c>
      <c r="I10" s="21"/>
      <c r="J10" s="21"/>
      <c r="K10" s="21"/>
    </row>
    <row r="11" spans="1:11" ht="18.75" x14ac:dyDescent="0.3">
      <c r="A11" s="3" t="s">
        <v>241</v>
      </c>
      <c r="B11" s="5">
        <v>8939538396</v>
      </c>
      <c r="C11" s="3" t="s">
        <v>242</v>
      </c>
      <c r="D11" s="5">
        <v>3500</v>
      </c>
      <c r="E11" s="5"/>
      <c r="F11" s="80" t="s">
        <v>682</v>
      </c>
      <c r="G11" s="3"/>
      <c r="H11" s="46"/>
      <c r="I11" s="32"/>
      <c r="J11" s="32"/>
      <c r="K11" s="21"/>
    </row>
    <row r="12" spans="1:11" ht="18.75" x14ac:dyDescent="0.3">
      <c r="A12" s="3" t="s">
        <v>266</v>
      </c>
      <c r="B12" s="5">
        <v>6385458304</v>
      </c>
      <c r="C12" s="3" t="s">
        <v>259</v>
      </c>
      <c r="D12" s="5">
        <v>2200</v>
      </c>
      <c r="E12" s="5" t="s">
        <v>528</v>
      </c>
      <c r="F12" s="80">
        <v>2200</v>
      </c>
      <c r="G12" s="3" t="s">
        <v>51</v>
      </c>
      <c r="H12" s="32" t="s">
        <v>527</v>
      </c>
      <c r="I12" s="32"/>
      <c r="J12" s="21"/>
      <c r="K12" s="21"/>
    </row>
    <row r="13" spans="1:11" ht="18.75" x14ac:dyDescent="0.3">
      <c r="A13" s="31" t="s">
        <v>268</v>
      </c>
      <c r="B13" s="5">
        <v>9345845341</v>
      </c>
      <c r="C13" s="3" t="s">
        <v>265</v>
      </c>
      <c r="D13" s="5">
        <v>2000</v>
      </c>
      <c r="E13" s="5"/>
      <c r="F13" s="80" t="s">
        <v>346</v>
      </c>
      <c r="G13" s="3"/>
      <c r="H13" s="46" t="s">
        <v>539</v>
      </c>
      <c r="I13" s="32"/>
      <c r="J13" s="21"/>
      <c r="K13" s="21"/>
    </row>
    <row r="14" spans="1:11" ht="18.75" x14ac:dyDescent="0.3">
      <c r="A14" s="3" t="s">
        <v>269</v>
      </c>
      <c r="B14" s="5">
        <v>9080506121</v>
      </c>
      <c r="C14" s="3" t="s">
        <v>270</v>
      </c>
      <c r="D14" s="5">
        <v>2300</v>
      </c>
      <c r="E14" s="5"/>
      <c r="F14" s="80" t="s">
        <v>346</v>
      </c>
      <c r="G14" s="3"/>
      <c r="H14" s="46"/>
      <c r="I14" s="32"/>
      <c r="J14" s="21"/>
      <c r="K14" s="21"/>
    </row>
    <row r="15" spans="1:11" ht="18.75" x14ac:dyDescent="0.3">
      <c r="A15" s="3" t="s">
        <v>285</v>
      </c>
      <c r="B15" s="5">
        <v>9791050538</v>
      </c>
      <c r="C15" s="3" t="s">
        <v>279</v>
      </c>
      <c r="D15" s="5">
        <v>3400</v>
      </c>
      <c r="E15" s="5" t="s">
        <v>486</v>
      </c>
      <c r="F15" s="80">
        <v>3400</v>
      </c>
      <c r="G15" s="3" t="s">
        <v>47</v>
      </c>
      <c r="H15" s="46"/>
      <c r="I15" s="111"/>
      <c r="J15" s="21"/>
      <c r="K15" s="21"/>
    </row>
    <row r="16" spans="1:11" ht="18.75" x14ac:dyDescent="0.3">
      <c r="A16" s="3" t="s">
        <v>319</v>
      </c>
      <c r="B16" s="5"/>
      <c r="C16" s="3" t="s">
        <v>294</v>
      </c>
      <c r="D16" s="5">
        <v>14700</v>
      </c>
      <c r="E16" s="5" t="s">
        <v>487</v>
      </c>
      <c r="F16" s="5">
        <v>16100</v>
      </c>
      <c r="G16" s="3"/>
      <c r="H16" s="46"/>
      <c r="I16" s="28"/>
      <c r="J16" s="21"/>
      <c r="K16" s="21"/>
    </row>
    <row r="17" spans="1:11" ht="18.75" x14ac:dyDescent="0.3">
      <c r="A17" s="3" t="s">
        <v>330</v>
      </c>
      <c r="B17" s="5">
        <v>9884664943</v>
      </c>
      <c r="C17" s="3" t="s">
        <v>329</v>
      </c>
      <c r="D17" s="5">
        <v>2000</v>
      </c>
      <c r="E17" s="5"/>
      <c r="F17" s="80"/>
      <c r="G17" s="3"/>
      <c r="H17" s="46"/>
      <c r="I17" s="21"/>
      <c r="J17" s="21"/>
      <c r="K17" s="21"/>
    </row>
    <row r="18" spans="1:11" ht="18.75" x14ac:dyDescent="0.3">
      <c r="A18" s="3" t="s">
        <v>471</v>
      </c>
      <c r="B18" s="5"/>
      <c r="C18" s="3" t="s">
        <v>339</v>
      </c>
      <c r="D18" s="5">
        <v>1800</v>
      </c>
      <c r="E18" s="5" t="s">
        <v>477</v>
      </c>
      <c r="F18" s="5">
        <v>1800</v>
      </c>
      <c r="G18" s="3" t="s">
        <v>423</v>
      </c>
      <c r="H18" s="46"/>
      <c r="I18" s="21"/>
      <c r="J18" s="21"/>
      <c r="K18" s="21"/>
    </row>
    <row r="19" spans="1:11" ht="18.5" x14ac:dyDescent="0.45">
      <c r="A19" s="3" t="s">
        <v>343</v>
      </c>
      <c r="B19" s="5">
        <v>9940440423</v>
      </c>
      <c r="C19" s="3" t="s">
        <v>337</v>
      </c>
      <c r="D19" s="5">
        <v>1800</v>
      </c>
      <c r="E19" s="5" t="s">
        <v>479</v>
      </c>
      <c r="F19" s="80">
        <v>1800</v>
      </c>
      <c r="G19" s="3" t="s">
        <v>51</v>
      </c>
      <c r="H19" s="46"/>
      <c r="I19" s="21"/>
      <c r="J19" s="21"/>
      <c r="K19" s="21"/>
    </row>
    <row r="20" spans="1:11" ht="18.5" x14ac:dyDescent="0.45">
      <c r="A20" s="3" t="s">
        <v>349</v>
      </c>
      <c r="B20" s="5"/>
      <c r="C20" s="3" t="s">
        <v>353</v>
      </c>
      <c r="D20" s="5">
        <v>2300</v>
      </c>
      <c r="E20" s="5"/>
      <c r="F20" s="80"/>
      <c r="G20" s="3"/>
      <c r="H20" s="46"/>
      <c r="I20" s="21"/>
      <c r="J20" s="21"/>
      <c r="K20" s="21"/>
    </row>
    <row r="21" spans="1:11" ht="18.5" x14ac:dyDescent="0.45">
      <c r="A21" s="3" t="s">
        <v>374</v>
      </c>
      <c r="B21" s="5">
        <v>7338700557</v>
      </c>
      <c r="C21" s="3" t="s">
        <v>351</v>
      </c>
      <c r="D21" s="5">
        <v>4250</v>
      </c>
      <c r="E21" s="5" t="s">
        <v>479</v>
      </c>
      <c r="F21" s="76">
        <v>2000</v>
      </c>
      <c r="G21" s="3" t="s">
        <v>47</v>
      </c>
      <c r="H21" s="46"/>
      <c r="I21" s="21"/>
      <c r="J21" s="21"/>
      <c r="K21" s="21"/>
    </row>
    <row r="22" spans="1:11" ht="18.5" x14ac:dyDescent="0.45">
      <c r="A22" s="3" t="s">
        <v>374</v>
      </c>
      <c r="B22" s="5"/>
      <c r="C22" s="3"/>
      <c r="D22" s="5"/>
      <c r="E22" s="5" t="s">
        <v>482</v>
      </c>
      <c r="F22" s="76">
        <v>3500</v>
      </c>
      <c r="G22" s="3" t="s">
        <v>47</v>
      </c>
      <c r="H22" s="46"/>
      <c r="I22" s="21"/>
      <c r="J22" s="21"/>
      <c r="K22" s="21"/>
    </row>
    <row r="23" spans="1:11" ht="18.5" x14ac:dyDescent="0.45">
      <c r="A23" s="3" t="s">
        <v>507</v>
      </c>
      <c r="B23" s="5"/>
      <c r="C23" s="3"/>
      <c r="D23" s="5"/>
      <c r="E23" s="5" t="s">
        <v>493</v>
      </c>
      <c r="F23" s="76">
        <v>3000</v>
      </c>
      <c r="G23" s="3" t="s">
        <v>47</v>
      </c>
      <c r="H23" s="21" t="s">
        <v>516</v>
      </c>
      <c r="J23" s="21"/>
      <c r="K23" s="21"/>
    </row>
    <row r="24" spans="1:11" ht="18.5" x14ac:dyDescent="0.45">
      <c r="A24" s="31" t="s">
        <v>514</v>
      </c>
      <c r="B24" s="5">
        <v>9042515894</v>
      </c>
      <c r="C24" s="3" t="s">
        <v>353</v>
      </c>
      <c r="D24" s="5">
        <v>4000</v>
      </c>
      <c r="E24" s="5"/>
      <c r="F24" s="80" t="s">
        <v>346</v>
      </c>
      <c r="G24" s="3"/>
      <c r="H24" s="46"/>
      <c r="I24" s="21" t="s">
        <v>491</v>
      </c>
      <c r="J24" s="21"/>
      <c r="K24" s="21"/>
    </row>
    <row r="25" spans="1:11" ht="18.5" x14ac:dyDescent="0.45">
      <c r="A25" s="3" t="s">
        <v>354</v>
      </c>
      <c r="B25" s="5">
        <v>6382501514</v>
      </c>
      <c r="C25" s="3" t="s">
        <v>353</v>
      </c>
      <c r="D25" s="5">
        <v>2000</v>
      </c>
      <c r="E25" s="5" t="s">
        <v>492</v>
      </c>
      <c r="F25" s="80">
        <v>1650</v>
      </c>
      <c r="G25" s="3" t="s">
        <v>423</v>
      </c>
      <c r="H25" s="46"/>
      <c r="I25" s="21"/>
      <c r="J25" s="21"/>
      <c r="K25" s="21"/>
    </row>
    <row r="26" spans="1:11" ht="18.5" x14ac:dyDescent="0.45">
      <c r="A26" s="3" t="s">
        <v>357</v>
      </c>
      <c r="B26" s="5">
        <v>9940199236</v>
      </c>
      <c r="C26" s="3" t="s">
        <v>358</v>
      </c>
      <c r="D26" s="5">
        <v>1500</v>
      </c>
      <c r="E26" s="5" t="s">
        <v>485</v>
      </c>
      <c r="F26" s="80">
        <v>1500</v>
      </c>
      <c r="G26" s="3" t="s">
        <v>47</v>
      </c>
      <c r="H26" s="46"/>
      <c r="I26" s="21"/>
      <c r="J26" s="21"/>
      <c r="K26" s="21"/>
    </row>
    <row r="27" spans="1:11" ht="18.5" x14ac:dyDescent="0.45">
      <c r="A27" s="3" t="s">
        <v>362</v>
      </c>
      <c r="B27" s="5">
        <v>9791273244</v>
      </c>
      <c r="C27" s="3" t="s">
        <v>358</v>
      </c>
      <c r="D27" s="5">
        <v>1800</v>
      </c>
      <c r="E27" s="5"/>
      <c r="F27" s="80">
        <v>1600</v>
      </c>
      <c r="G27" s="3" t="s">
        <v>47</v>
      </c>
      <c r="H27" s="46"/>
      <c r="I27" s="21"/>
      <c r="J27" s="21"/>
      <c r="K27" s="21"/>
    </row>
    <row r="28" spans="1:11" ht="18.5" x14ac:dyDescent="0.45">
      <c r="A28" s="3" t="s">
        <v>369</v>
      </c>
      <c r="B28" s="5">
        <v>9940053942</v>
      </c>
      <c r="C28" s="3" t="s">
        <v>373</v>
      </c>
      <c r="D28" s="5">
        <v>2000</v>
      </c>
      <c r="E28" s="5" t="s">
        <v>515</v>
      </c>
      <c r="F28" s="80">
        <v>2000</v>
      </c>
      <c r="G28" s="3" t="s">
        <v>423</v>
      </c>
      <c r="H28" s="46"/>
      <c r="I28" s="21"/>
      <c r="J28" s="21"/>
      <c r="K28" s="21"/>
    </row>
    <row r="29" spans="1:11" ht="18.5" x14ac:dyDescent="0.45">
      <c r="A29" s="3" t="s">
        <v>415</v>
      </c>
      <c r="B29" s="5">
        <v>9400904091</v>
      </c>
      <c r="C29" s="3" t="s">
        <v>373</v>
      </c>
      <c r="D29" s="5">
        <v>3500</v>
      </c>
      <c r="E29" s="5" t="s">
        <v>492</v>
      </c>
      <c r="F29" s="80">
        <v>3500</v>
      </c>
      <c r="G29" s="3" t="s">
        <v>423</v>
      </c>
      <c r="H29" s="46"/>
      <c r="I29" s="21"/>
      <c r="J29" s="21"/>
      <c r="K29" s="21"/>
    </row>
    <row r="30" spans="1:11" ht="18.5" x14ac:dyDescent="0.45">
      <c r="A30" s="3" t="s">
        <v>381</v>
      </c>
      <c r="B30" s="5">
        <v>6384064584</v>
      </c>
      <c r="C30" s="3" t="s">
        <v>379</v>
      </c>
      <c r="D30" s="5">
        <v>2000</v>
      </c>
      <c r="E30" s="5" t="s">
        <v>511</v>
      </c>
      <c r="F30" s="80">
        <v>2000</v>
      </c>
      <c r="G30" s="3" t="s">
        <v>423</v>
      </c>
      <c r="H30" s="46"/>
      <c r="I30" s="21"/>
      <c r="J30" s="21"/>
      <c r="K30" s="21"/>
    </row>
    <row r="31" spans="1:11" ht="18.5" x14ac:dyDescent="0.45">
      <c r="A31" s="3" t="s">
        <v>386</v>
      </c>
      <c r="B31" s="5">
        <v>8870042240</v>
      </c>
      <c r="C31" s="3" t="s">
        <v>399</v>
      </c>
      <c r="D31" s="5">
        <v>3500</v>
      </c>
      <c r="E31" s="5"/>
      <c r="F31" s="80"/>
      <c r="G31" s="3"/>
      <c r="H31" s="46"/>
      <c r="I31" s="21"/>
      <c r="J31" s="21"/>
      <c r="K31" s="21"/>
    </row>
    <row r="32" spans="1:11" ht="18.5" x14ac:dyDescent="0.45">
      <c r="A32" s="3" t="s">
        <v>391</v>
      </c>
      <c r="B32" s="5">
        <v>9032291673</v>
      </c>
      <c r="C32" s="3" t="s">
        <v>389</v>
      </c>
      <c r="D32" s="5">
        <v>2000</v>
      </c>
      <c r="E32" s="5" t="s">
        <v>521</v>
      </c>
      <c r="F32" s="80">
        <v>1750</v>
      </c>
      <c r="G32" s="3" t="s">
        <v>47</v>
      </c>
      <c r="H32" s="46"/>
      <c r="I32" s="21"/>
      <c r="J32" s="21"/>
      <c r="K32" s="21"/>
    </row>
    <row r="33" spans="1:11" ht="18.5" x14ac:dyDescent="0.45">
      <c r="A33" s="31" t="s">
        <v>573</v>
      </c>
      <c r="B33" s="5">
        <v>6374733492</v>
      </c>
      <c r="C33" s="3" t="s">
        <v>389</v>
      </c>
      <c r="D33" s="5">
        <v>5000</v>
      </c>
      <c r="E33" s="5"/>
      <c r="F33" s="80" t="s">
        <v>346</v>
      </c>
      <c r="G33" s="3"/>
      <c r="H33" s="46" t="s">
        <v>538</v>
      </c>
      <c r="I33" s="21"/>
      <c r="J33" s="21"/>
      <c r="K33" s="21"/>
    </row>
    <row r="34" spans="1:11" ht="18.5" x14ac:dyDescent="0.45">
      <c r="A34" s="3" t="s">
        <v>419</v>
      </c>
      <c r="B34" s="5">
        <v>9360502638</v>
      </c>
      <c r="C34" s="3" t="s">
        <v>402</v>
      </c>
      <c r="D34" s="5">
        <v>2500</v>
      </c>
      <c r="E34" s="5" t="s">
        <v>528</v>
      </c>
      <c r="F34" s="80">
        <v>1000</v>
      </c>
      <c r="G34" s="3" t="s">
        <v>423</v>
      </c>
      <c r="H34" s="46"/>
      <c r="I34" s="21"/>
      <c r="J34" s="21"/>
      <c r="K34" s="21"/>
    </row>
    <row r="35" spans="1:11" ht="18.5" x14ac:dyDescent="0.45">
      <c r="A35" s="3"/>
      <c r="B35" s="5"/>
      <c r="C35" s="3"/>
      <c r="D35" s="5"/>
      <c r="E35" s="5" t="s">
        <v>528</v>
      </c>
      <c r="F35" s="80">
        <v>1749</v>
      </c>
      <c r="G35" s="3" t="s">
        <v>423</v>
      </c>
      <c r="H35" s="46"/>
      <c r="I35" s="21"/>
      <c r="J35" s="21"/>
      <c r="K35" s="21"/>
    </row>
    <row r="36" spans="1:11" ht="18.5" x14ac:dyDescent="0.45">
      <c r="A36" s="3" t="s">
        <v>426</v>
      </c>
      <c r="B36" s="5">
        <v>6383721663</v>
      </c>
      <c r="C36" s="3" t="s">
        <v>422</v>
      </c>
      <c r="D36" s="5">
        <v>2000</v>
      </c>
      <c r="E36" s="5" t="s">
        <v>488</v>
      </c>
      <c r="F36" s="80">
        <v>2000</v>
      </c>
      <c r="G36" s="3" t="s">
        <v>423</v>
      </c>
      <c r="H36" s="46"/>
      <c r="I36" s="21"/>
      <c r="J36" s="21"/>
      <c r="K36" s="21"/>
    </row>
    <row r="37" spans="1:11" ht="18.5" x14ac:dyDescent="0.45">
      <c r="A37" s="3" t="s">
        <v>481</v>
      </c>
      <c r="B37" s="5">
        <v>7448958137</v>
      </c>
      <c r="C37" s="3" t="s">
        <v>433</v>
      </c>
      <c r="D37" s="5">
        <v>2500</v>
      </c>
      <c r="E37" s="5" t="s">
        <v>488</v>
      </c>
      <c r="F37" s="80">
        <v>2500</v>
      </c>
      <c r="G37" s="3" t="s">
        <v>47</v>
      </c>
      <c r="H37" s="46"/>
      <c r="I37" s="21"/>
      <c r="J37" s="21"/>
      <c r="K37" s="21"/>
    </row>
    <row r="38" spans="1:11" ht="18.5" x14ac:dyDescent="0.45">
      <c r="A38" s="31" t="s">
        <v>513</v>
      </c>
      <c r="B38" s="5">
        <v>9710459818</v>
      </c>
      <c r="C38" s="3" t="s">
        <v>441</v>
      </c>
      <c r="D38" s="5">
        <v>2000</v>
      </c>
      <c r="E38" s="5"/>
      <c r="F38" s="80" t="s">
        <v>346</v>
      </c>
      <c r="G38" s="3"/>
      <c r="H38" s="21" t="s">
        <v>510</v>
      </c>
      <c r="I38" s="21"/>
      <c r="K38" s="21"/>
    </row>
    <row r="39" spans="1:11" ht="18.5" x14ac:dyDescent="0.45">
      <c r="A39" s="3" t="s">
        <v>463</v>
      </c>
      <c r="B39" s="5">
        <v>7904409817</v>
      </c>
      <c r="C39" s="3" t="s">
        <v>451</v>
      </c>
      <c r="D39" s="5">
        <v>4500</v>
      </c>
      <c r="E39" s="5"/>
      <c r="F39" s="80" t="s">
        <v>682</v>
      </c>
      <c r="G39" s="3"/>
      <c r="H39" s="46"/>
      <c r="I39" s="21"/>
      <c r="J39" s="21"/>
      <c r="K39" s="21"/>
    </row>
    <row r="40" spans="1:11" ht="18.5" x14ac:dyDescent="0.45">
      <c r="A40" s="31" t="s">
        <v>512</v>
      </c>
      <c r="B40" s="5"/>
      <c r="C40" s="3" t="s">
        <v>462</v>
      </c>
      <c r="D40" s="5">
        <v>1000</v>
      </c>
      <c r="E40" s="5"/>
      <c r="F40" s="80" t="s">
        <v>346</v>
      </c>
      <c r="G40" s="3"/>
      <c r="H40" s="21" t="s">
        <v>483</v>
      </c>
      <c r="I40" s="21"/>
      <c r="K40" s="21"/>
    </row>
    <row r="41" spans="1:11" ht="18.5" x14ac:dyDescent="0.45">
      <c r="A41" s="3" t="s">
        <v>461</v>
      </c>
      <c r="B41" s="5">
        <v>9962718253</v>
      </c>
      <c r="C41" s="3" t="s">
        <v>474</v>
      </c>
      <c r="D41" s="5">
        <v>2000</v>
      </c>
      <c r="E41" s="5" t="s">
        <v>474</v>
      </c>
      <c r="F41" s="80">
        <v>2000</v>
      </c>
      <c r="G41" s="80" t="s">
        <v>47</v>
      </c>
      <c r="H41" s="116"/>
      <c r="I41" s="21"/>
      <c r="J41" s="21"/>
      <c r="K41" s="21"/>
    </row>
    <row r="42" spans="1:11" ht="18.5" x14ac:dyDescent="0.45">
      <c r="A42" s="3" t="s">
        <v>473</v>
      </c>
      <c r="B42" s="5">
        <v>9566059846</v>
      </c>
      <c r="C42" s="3" t="s">
        <v>474</v>
      </c>
      <c r="D42" s="5">
        <v>1700</v>
      </c>
      <c r="E42" s="5" t="s">
        <v>474</v>
      </c>
      <c r="F42" s="5">
        <v>1900</v>
      </c>
      <c r="G42" s="3" t="s">
        <v>423</v>
      </c>
      <c r="H42" s="46"/>
      <c r="I42" s="21"/>
      <c r="J42" s="21"/>
      <c r="K42" s="21"/>
    </row>
    <row r="43" spans="1:11" ht="18.5" x14ac:dyDescent="0.45">
      <c r="A43" s="3" t="s">
        <v>501</v>
      </c>
      <c r="B43" s="5">
        <v>9080869326</v>
      </c>
      <c r="C43" s="3" t="s">
        <v>479</v>
      </c>
      <c r="D43" s="5">
        <v>2000</v>
      </c>
      <c r="E43" s="5" t="s">
        <v>479</v>
      </c>
      <c r="F43" s="5">
        <v>2000</v>
      </c>
      <c r="G43" s="3" t="s">
        <v>423</v>
      </c>
      <c r="H43" s="46"/>
      <c r="I43" s="21"/>
      <c r="J43" s="21"/>
      <c r="K43" s="21"/>
    </row>
    <row r="44" spans="1:11" ht="18.5" x14ac:dyDescent="0.45">
      <c r="A44" s="3" t="s">
        <v>498</v>
      </c>
      <c r="B44" s="5">
        <v>9585821453</v>
      </c>
      <c r="C44" s="3" t="s">
        <v>499</v>
      </c>
      <c r="D44" s="5">
        <v>10000</v>
      </c>
      <c r="E44" s="5" t="s">
        <v>502</v>
      </c>
      <c r="F44" s="5">
        <v>10500</v>
      </c>
      <c r="G44" s="3" t="s">
        <v>47</v>
      </c>
      <c r="H44" s="46"/>
      <c r="I44" s="21"/>
      <c r="J44" s="21"/>
      <c r="K44" s="21"/>
    </row>
    <row r="45" spans="1:11" ht="18.5" x14ac:dyDescent="0.45">
      <c r="A45" s="3" t="s">
        <v>517</v>
      </c>
      <c r="B45" s="5">
        <v>8754433095</v>
      </c>
      <c r="C45" s="3" t="s">
        <v>482</v>
      </c>
      <c r="D45" s="5">
        <v>2500</v>
      </c>
      <c r="E45" s="5" t="s">
        <v>488</v>
      </c>
      <c r="F45" s="5">
        <v>2500</v>
      </c>
      <c r="G45" s="3" t="s">
        <v>47</v>
      </c>
      <c r="H45" s="21" t="s">
        <v>495</v>
      </c>
      <c r="I45" s="21"/>
      <c r="J45" s="21"/>
      <c r="K45" s="21"/>
    </row>
    <row r="46" spans="1:11" ht="18.5" x14ac:dyDescent="0.45">
      <c r="A46" s="3" t="s">
        <v>552</v>
      </c>
      <c r="B46" s="5">
        <v>9841477377</v>
      </c>
      <c r="C46" s="3" t="s">
        <v>493</v>
      </c>
      <c r="D46" s="5">
        <v>2000</v>
      </c>
      <c r="E46" s="5" t="s">
        <v>493</v>
      </c>
      <c r="F46" s="5">
        <v>2000</v>
      </c>
      <c r="G46" s="3" t="s">
        <v>423</v>
      </c>
      <c r="H46" s="46"/>
      <c r="I46" s="21"/>
      <c r="J46" s="21"/>
      <c r="K46" s="21"/>
    </row>
    <row r="47" spans="1:11" ht="18.5" x14ac:dyDescent="0.45">
      <c r="A47" s="3" t="s">
        <v>553</v>
      </c>
      <c r="B47" s="5">
        <v>9092711511</v>
      </c>
      <c r="C47" s="3" t="s">
        <v>545</v>
      </c>
      <c r="D47" s="5"/>
      <c r="E47" s="5"/>
      <c r="F47" s="5"/>
      <c r="G47" s="3"/>
      <c r="H47" s="46"/>
      <c r="I47" s="21"/>
      <c r="J47" s="21"/>
      <c r="K47" s="21"/>
    </row>
    <row r="48" spans="1:11" ht="18.5" x14ac:dyDescent="0.45">
      <c r="A48" s="3" t="s">
        <v>547</v>
      </c>
      <c r="B48" s="5">
        <v>9791101009</v>
      </c>
      <c r="C48" s="3" t="s">
        <v>522</v>
      </c>
      <c r="D48" s="5">
        <v>1700</v>
      </c>
      <c r="E48" s="5" t="s">
        <v>522</v>
      </c>
      <c r="F48" s="5">
        <v>1700</v>
      </c>
      <c r="G48" s="3" t="s">
        <v>423</v>
      </c>
      <c r="H48" s="46"/>
      <c r="I48" s="21"/>
      <c r="J48" s="21"/>
      <c r="K48" s="21"/>
    </row>
    <row r="49" spans="1:11" ht="18.5" x14ac:dyDescent="0.45">
      <c r="A49" s="3" t="s">
        <v>597</v>
      </c>
      <c r="B49" s="5">
        <v>6381874899</v>
      </c>
      <c r="C49" s="3" t="s">
        <v>522</v>
      </c>
      <c r="D49" s="5">
        <v>2000</v>
      </c>
      <c r="E49" s="5" t="s">
        <v>522</v>
      </c>
      <c r="F49" s="5">
        <v>2000</v>
      </c>
      <c r="G49" s="3" t="s">
        <v>47</v>
      </c>
      <c r="H49" s="46" t="s">
        <v>596</v>
      </c>
      <c r="I49" s="21"/>
      <c r="J49" s="21"/>
      <c r="K49" s="21"/>
    </row>
    <row r="50" spans="1:11" ht="18.5" x14ac:dyDescent="0.45">
      <c r="A50" s="3" t="s">
        <v>546</v>
      </c>
      <c r="B50" s="5">
        <v>9003517441</v>
      </c>
      <c r="C50" s="3" t="s">
        <v>525</v>
      </c>
      <c r="D50" s="5">
        <v>4000</v>
      </c>
      <c r="E50" s="5" t="s">
        <v>525</v>
      </c>
      <c r="F50" s="5">
        <v>4000</v>
      </c>
      <c r="G50" s="3" t="s">
        <v>47</v>
      </c>
      <c r="H50" s="46"/>
      <c r="I50" s="21"/>
      <c r="J50" s="21"/>
      <c r="K50" s="21"/>
    </row>
    <row r="51" spans="1:11" ht="18.5" x14ac:dyDescent="0.45">
      <c r="A51" s="3" t="s">
        <v>548</v>
      </c>
      <c r="B51" s="5">
        <v>9176551349</v>
      </c>
      <c r="C51" s="3" t="s">
        <v>526</v>
      </c>
      <c r="D51" s="5">
        <v>1750</v>
      </c>
      <c r="E51" s="3" t="s">
        <v>526</v>
      </c>
      <c r="F51" s="5">
        <v>1750</v>
      </c>
      <c r="G51" s="3"/>
      <c r="H51" s="46"/>
      <c r="I51" s="21"/>
      <c r="J51" s="21"/>
      <c r="K51" s="21"/>
    </row>
    <row r="52" spans="1:11" ht="18.5" x14ac:dyDescent="0.45">
      <c r="A52" s="3" t="s">
        <v>530</v>
      </c>
      <c r="B52" s="5">
        <v>9962394371</v>
      </c>
      <c r="C52" s="3" t="s">
        <v>531</v>
      </c>
      <c r="D52" s="5">
        <v>2000</v>
      </c>
      <c r="E52" s="3" t="s">
        <v>531</v>
      </c>
      <c r="F52" s="5">
        <v>2000</v>
      </c>
      <c r="G52" s="3" t="s">
        <v>423</v>
      </c>
      <c r="H52" s="46"/>
      <c r="I52" s="21"/>
      <c r="J52" s="21"/>
      <c r="K52" s="21"/>
    </row>
    <row r="53" spans="1:11" ht="18.5" x14ac:dyDescent="0.45">
      <c r="A53" s="3" t="s">
        <v>549</v>
      </c>
      <c r="B53" s="5">
        <v>805627708</v>
      </c>
      <c r="C53" s="3" t="s">
        <v>540</v>
      </c>
      <c r="D53" s="5">
        <v>700</v>
      </c>
      <c r="E53" s="3" t="s">
        <v>540</v>
      </c>
      <c r="F53" s="5">
        <v>700</v>
      </c>
      <c r="G53" s="3" t="s">
        <v>541</v>
      </c>
      <c r="H53" s="46"/>
      <c r="I53" s="21"/>
      <c r="J53" s="21"/>
      <c r="K53" s="21"/>
    </row>
    <row r="54" spans="1:11" ht="18.5" x14ac:dyDescent="0.45">
      <c r="A54" s="3" t="s">
        <v>550</v>
      </c>
      <c r="B54" s="5">
        <v>8190848756</v>
      </c>
      <c r="C54" s="3" t="s">
        <v>540</v>
      </c>
      <c r="D54" s="5">
        <v>1700</v>
      </c>
      <c r="E54" s="3"/>
      <c r="F54" s="5"/>
      <c r="G54" s="3"/>
      <c r="H54" s="46"/>
      <c r="I54" s="21"/>
      <c r="J54" s="21"/>
      <c r="K54" s="21"/>
    </row>
    <row r="55" spans="1:11" ht="18.5" x14ac:dyDescent="0.45">
      <c r="A55" s="3" t="s">
        <v>551</v>
      </c>
      <c r="B55" s="5">
        <v>9884690348</v>
      </c>
      <c r="C55" s="3" t="s">
        <v>526</v>
      </c>
      <c r="D55" s="5"/>
      <c r="E55" s="3"/>
      <c r="F55" s="5"/>
      <c r="G55" s="3"/>
      <c r="H55" s="46"/>
      <c r="I55" s="21"/>
      <c r="J55" s="21"/>
      <c r="K55" s="21"/>
    </row>
    <row r="56" spans="1:11" ht="18.5" x14ac:dyDescent="0.45">
      <c r="A56" s="3"/>
      <c r="B56" s="5"/>
      <c r="C56" s="3"/>
      <c r="D56" s="5"/>
      <c r="E56" s="3"/>
      <c r="F56" s="5"/>
      <c r="G56" s="3"/>
      <c r="H56" s="46"/>
      <c r="I56" s="21"/>
      <c r="J56" s="21"/>
      <c r="K56" s="21"/>
    </row>
    <row r="57" spans="1:11" ht="18.5" x14ac:dyDescent="0.45">
      <c r="A57" s="3"/>
      <c r="B57" s="5"/>
      <c r="C57" s="3"/>
      <c r="D57" s="5"/>
      <c r="E57" s="3"/>
      <c r="F57" s="5"/>
      <c r="G57" s="3"/>
      <c r="H57" s="46"/>
      <c r="I57" s="21"/>
      <c r="J57" s="21"/>
      <c r="K57" s="21"/>
    </row>
    <row r="58" spans="1:11" ht="18.5" x14ac:dyDescent="0.45">
      <c r="A58" s="3"/>
      <c r="B58" s="5"/>
      <c r="C58" s="3"/>
      <c r="D58" s="5"/>
      <c r="E58" s="3"/>
      <c r="F58" s="5"/>
      <c r="G58" s="3"/>
      <c r="H58" s="46"/>
      <c r="I58" s="21"/>
      <c r="J58" s="21"/>
      <c r="K58" s="21"/>
    </row>
    <row r="59" spans="1:11" ht="18.5" x14ac:dyDescent="0.45">
      <c r="A59" s="3"/>
      <c r="B59" s="5"/>
      <c r="C59" s="3"/>
      <c r="D59" s="5"/>
      <c r="E59" s="3"/>
      <c r="F59" s="5"/>
      <c r="G59" s="3"/>
      <c r="H59" s="46"/>
      <c r="I59" s="21"/>
      <c r="J59" s="21"/>
      <c r="K59" s="21"/>
    </row>
    <row r="60" spans="1:11" ht="18.5" x14ac:dyDescent="0.45">
      <c r="A60" s="3"/>
      <c r="B60" s="5"/>
      <c r="C60" s="3"/>
      <c r="D60" s="5"/>
      <c r="E60" s="3"/>
      <c r="F60" s="5"/>
      <c r="G60" s="3"/>
      <c r="H60" s="46"/>
      <c r="I60" s="21"/>
      <c r="J60" s="21"/>
      <c r="K60" s="21"/>
    </row>
    <row r="61" spans="1:11" ht="18.5" x14ac:dyDescent="0.45">
      <c r="A61" s="3"/>
      <c r="B61" s="5"/>
      <c r="C61" s="3"/>
      <c r="D61" s="5"/>
      <c r="E61" s="3"/>
      <c r="F61" s="5"/>
      <c r="G61" s="3"/>
      <c r="H61" s="46"/>
      <c r="I61" s="21"/>
      <c r="J61" s="21"/>
      <c r="K61" s="21"/>
    </row>
    <row r="62" spans="1:11" ht="18.5" x14ac:dyDescent="0.45">
      <c r="A62" s="3"/>
      <c r="B62" s="5"/>
      <c r="C62" s="3"/>
      <c r="D62" s="5"/>
      <c r="E62" s="3"/>
      <c r="F62" s="5"/>
      <c r="G62" s="3"/>
      <c r="H62" s="46"/>
      <c r="I62" s="21"/>
      <c r="J62" s="21"/>
      <c r="K62" s="21"/>
    </row>
    <row r="63" spans="1:11" ht="18.5" x14ac:dyDescent="0.45">
      <c r="A63" s="3"/>
      <c r="B63" s="5"/>
      <c r="C63" s="3"/>
      <c r="D63" s="5"/>
      <c r="E63" s="3"/>
      <c r="F63" s="5"/>
      <c r="G63" s="3"/>
      <c r="H63" s="46"/>
      <c r="I63" s="21"/>
      <c r="J63" s="21"/>
      <c r="K63" s="21"/>
    </row>
    <row r="64" spans="1:11" ht="18.5" x14ac:dyDescent="0.45">
      <c r="A64" s="3"/>
      <c r="B64" s="5"/>
      <c r="C64" s="3"/>
      <c r="D64" s="5"/>
      <c r="E64" s="3"/>
      <c r="F64" s="5"/>
      <c r="G64" s="3"/>
      <c r="H64" s="46"/>
      <c r="I64" s="21"/>
      <c r="J64" s="21"/>
      <c r="K64" s="21"/>
    </row>
    <row r="65" spans="1:12" ht="18.5" x14ac:dyDescent="0.45">
      <c r="A65" s="3"/>
      <c r="B65" s="5"/>
      <c r="C65" s="3"/>
      <c r="D65" s="5"/>
      <c r="E65" s="3"/>
      <c r="F65" s="5"/>
      <c r="G65" s="3"/>
      <c r="H65" s="46"/>
      <c r="I65" s="21"/>
      <c r="J65" s="21"/>
      <c r="K65" s="21"/>
    </row>
    <row r="66" spans="1:12" ht="18.5" x14ac:dyDescent="0.45">
      <c r="A66" s="3"/>
      <c r="B66" s="5"/>
      <c r="C66" s="3"/>
      <c r="D66" s="5"/>
      <c r="E66" s="3"/>
      <c r="F66" s="5"/>
      <c r="G66" s="3"/>
      <c r="H66" s="46"/>
      <c r="I66" s="21"/>
      <c r="J66" s="21"/>
      <c r="K66" s="21"/>
    </row>
    <row r="67" spans="1:12" ht="18.5" x14ac:dyDescent="0.45">
      <c r="A67" s="3"/>
      <c r="B67" s="5"/>
      <c r="C67" s="3"/>
      <c r="D67" s="5"/>
      <c r="E67" s="3"/>
      <c r="F67" s="5"/>
      <c r="G67" s="3"/>
      <c r="H67" s="46"/>
      <c r="I67" s="21"/>
      <c r="J67" s="21"/>
      <c r="K67" s="21"/>
    </row>
    <row r="68" spans="1:12" ht="18.5" x14ac:dyDescent="0.45">
      <c r="A68" s="3"/>
      <c r="B68" s="5"/>
      <c r="C68" s="3"/>
      <c r="D68" s="5"/>
      <c r="E68" s="3"/>
      <c r="F68" s="80">
        <v>118150</v>
      </c>
      <c r="G68" s="3"/>
      <c r="H68" s="46"/>
      <c r="I68" s="21"/>
      <c r="J68" s="21"/>
      <c r="K68" s="21"/>
    </row>
    <row r="69" spans="1:12" ht="18.5" x14ac:dyDescent="0.45">
      <c r="A69" s="21"/>
      <c r="B69" s="21"/>
      <c r="C69" s="21"/>
      <c r="D69" s="21"/>
      <c r="E69" s="21"/>
      <c r="F69" s="22"/>
      <c r="G69" s="21"/>
      <c r="H69" s="21"/>
      <c r="I69" s="21"/>
      <c r="J69" s="21"/>
      <c r="K69" s="21"/>
    </row>
    <row r="70" spans="1:12" ht="18.5" x14ac:dyDescent="0.45">
      <c r="A70" s="21"/>
      <c r="B70" s="21"/>
      <c r="C70" s="21"/>
      <c r="D70" s="21"/>
      <c r="E70" s="21"/>
      <c r="F70" s="22"/>
      <c r="G70" s="21"/>
      <c r="H70" s="21"/>
      <c r="I70" s="21"/>
      <c r="J70" s="21"/>
      <c r="K70" s="21"/>
    </row>
    <row r="71" spans="1:12" ht="18.5" x14ac:dyDescent="0.45">
      <c r="A71" s="21"/>
      <c r="B71" s="21"/>
      <c r="C71" s="21"/>
      <c r="D71" s="21"/>
      <c r="E71" s="21"/>
      <c r="F71" s="22"/>
      <c r="G71" s="21"/>
      <c r="H71" s="21"/>
      <c r="I71" s="21"/>
      <c r="J71" s="21"/>
      <c r="K71" s="21"/>
    </row>
    <row r="72" spans="1:12" ht="18.5" x14ac:dyDescent="0.45">
      <c r="A72" s="21"/>
      <c r="B72" s="21"/>
      <c r="C72" s="112" t="s">
        <v>66</v>
      </c>
      <c r="D72" s="112"/>
      <c r="E72" s="21"/>
      <c r="F72" s="22"/>
      <c r="G72" s="21"/>
      <c r="H72" s="21"/>
      <c r="I72" s="21"/>
      <c r="J72" s="21"/>
      <c r="K72" s="21"/>
    </row>
    <row r="73" spans="1:12" ht="18.5" x14ac:dyDescent="0.45">
      <c r="A73" s="21"/>
      <c r="B73" s="21"/>
      <c r="C73" s="21"/>
      <c r="D73" s="29"/>
      <c r="E73" s="29"/>
      <c r="F73" s="29"/>
      <c r="G73" s="29"/>
      <c r="H73" s="29"/>
      <c r="I73" s="21"/>
      <c r="J73" s="21"/>
      <c r="K73" s="21"/>
    </row>
    <row r="74" spans="1:12" ht="18.5" x14ac:dyDescent="0.45">
      <c r="A74" s="3"/>
      <c r="B74" s="3"/>
      <c r="C74" s="41" t="s">
        <v>88</v>
      </c>
      <c r="D74" s="41" t="s">
        <v>82</v>
      </c>
      <c r="E74" s="41" t="s">
        <v>89</v>
      </c>
      <c r="F74" s="41" t="s">
        <v>468</v>
      </c>
      <c r="G74" s="41" t="s">
        <v>469</v>
      </c>
      <c r="H74" s="41" t="s">
        <v>470</v>
      </c>
      <c r="I74" s="41" t="s">
        <v>84</v>
      </c>
      <c r="J74" s="41" t="s">
        <v>189</v>
      </c>
      <c r="K74" s="59"/>
    </row>
    <row r="75" spans="1:12" ht="18.5" x14ac:dyDescent="0.45">
      <c r="A75" s="3" t="s">
        <v>187</v>
      </c>
      <c r="B75" s="3"/>
      <c r="C75" s="41" t="s">
        <v>474</v>
      </c>
      <c r="D75" s="41">
        <v>100</v>
      </c>
      <c r="E75" s="41">
        <v>25600</v>
      </c>
      <c r="F75" s="41">
        <v>2304</v>
      </c>
      <c r="G75" s="41">
        <v>2304</v>
      </c>
      <c r="H75" s="41"/>
      <c r="I75" s="117">
        <v>30208</v>
      </c>
      <c r="J75" s="59" t="s">
        <v>190</v>
      </c>
      <c r="K75" s="59" t="s">
        <v>493</v>
      </c>
    </row>
    <row r="76" spans="1:12" ht="18.5" x14ac:dyDescent="0.45">
      <c r="A76" s="3" t="s">
        <v>416</v>
      </c>
      <c r="B76" s="3"/>
      <c r="C76" s="41" t="s">
        <v>474</v>
      </c>
      <c r="D76" s="41">
        <v>101</v>
      </c>
      <c r="E76" s="41">
        <v>14500</v>
      </c>
      <c r="F76" s="41">
        <v>1305</v>
      </c>
      <c r="G76" s="41">
        <v>1305</v>
      </c>
      <c r="H76" s="41"/>
      <c r="I76" s="117">
        <v>17110</v>
      </c>
      <c r="J76" s="59" t="s">
        <v>211</v>
      </c>
      <c r="K76" s="59" t="s">
        <v>479</v>
      </c>
    </row>
    <row r="77" spans="1:12" ht="18.5" x14ac:dyDescent="0.45">
      <c r="A77" s="3" t="s">
        <v>341</v>
      </c>
      <c r="B77" s="3"/>
      <c r="C77" s="41" t="s">
        <v>474</v>
      </c>
      <c r="D77" s="41">
        <v>102</v>
      </c>
      <c r="E77" s="41">
        <v>6000</v>
      </c>
      <c r="F77" s="41">
        <v>540</v>
      </c>
      <c r="G77" s="41">
        <v>540</v>
      </c>
      <c r="H77" s="41"/>
      <c r="I77" s="117">
        <v>7080</v>
      </c>
      <c r="J77" s="59" t="s">
        <v>191</v>
      </c>
      <c r="K77" s="59" t="s">
        <v>593</v>
      </c>
    </row>
    <row r="78" spans="1:12" ht="18.5" x14ac:dyDescent="0.45">
      <c r="A78" s="3" t="s">
        <v>289</v>
      </c>
      <c r="B78" s="3"/>
      <c r="C78" s="41" t="s">
        <v>474</v>
      </c>
      <c r="D78" s="41">
        <v>103</v>
      </c>
      <c r="E78" s="41">
        <v>36200</v>
      </c>
      <c r="F78" s="41">
        <v>3258</v>
      </c>
      <c r="G78" s="41">
        <v>3258</v>
      </c>
      <c r="H78" s="41"/>
      <c r="I78" s="117">
        <v>42716</v>
      </c>
      <c r="J78" s="59" t="s">
        <v>192</v>
      </c>
      <c r="K78" s="59" t="s">
        <v>479</v>
      </c>
    </row>
    <row r="79" spans="1:12" ht="18.5" x14ac:dyDescent="0.45">
      <c r="A79" s="3" t="s">
        <v>70</v>
      </c>
      <c r="B79" s="3"/>
      <c r="C79" s="41" t="s">
        <v>474</v>
      </c>
      <c r="D79" s="41">
        <v>104</v>
      </c>
      <c r="E79" s="41">
        <v>5600</v>
      </c>
      <c r="F79" s="41">
        <v>504</v>
      </c>
      <c r="G79" s="41">
        <v>504</v>
      </c>
      <c r="H79" s="41"/>
      <c r="I79" s="117">
        <v>6608</v>
      </c>
      <c r="J79" s="59" t="s">
        <v>213</v>
      </c>
      <c r="K79" s="59" t="s">
        <v>640</v>
      </c>
      <c r="L79" t="s">
        <v>642</v>
      </c>
    </row>
    <row r="80" spans="1:12" ht="18.5" x14ac:dyDescent="0.45">
      <c r="A80" s="3" t="s">
        <v>409</v>
      </c>
      <c r="B80" s="3"/>
      <c r="C80" s="41" t="s">
        <v>474</v>
      </c>
      <c r="D80" s="41">
        <v>105</v>
      </c>
      <c r="E80" s="41">
        <v>35718</v>
      </c>
      <c r="F80" s="41">
        <v>3214.62</v>
      </c>
      <c r="G80" s="41">
        <v>3214.62</v>
      </c>
      <c r="H80" s="41"/>
      <c r="I80" s="117">
        <v>42147.24</v>
      </c>
      <c r="J80" s="59" t="s">
        <v>233</v>
      </c>
      <c r="K80" s="59" t="s">
        <v>531</v>
      </c>
    </row>
    <row r="81" spans="1:11" ht="18.5" x14ac:dyDescent="0.45">
      <c r="A81" s="3" t="s">
        <v>434</v>
      </c>
      <c r="B81" s="3"/>
      <c r="C81" s="41" t="s">
        <v>477</v>
      </c>
      <c r="D81" s="41">
        <v>106</v>
      </c>
      <c r="E81" s="41">
        <v>12505</v>
      </c>
      <c r="F81" s="41">
        <v>1125.45</v>
      </c>
      <c r="G81" s="41">
        <v>1125.45</v>
      </c>
      <c r="H81" s="41"/>
      <c r="I81" s="117">
        <v>14755.9</v>
      </c>
      <c r="J81" s="59" t="s">
        <v>335</v>
      </c>
      <c r="K81" s="59" t="s">
        <v>502</v>
      </c>
    </row>
    <row r="82" spans="1:11" ht="18.5" x14ac:dyDescent="0.45">
      <c r="A82" s="31" t="s">
        <v>575</v>
      </c>
      <c r="B82" s="3"/>
      <c r="C82" s="41" t="s">
        <v>477</v>
      </c>
      <c r="D82" s="41">
        <v>107</v>
      </c>
      <c r="E82" s="41">
        <v>1400</v>
      </c>
      <c r="F82" s="41">
        <v>126</v>
      </c>
      <c r="G82" s="41">
        <v>126</v>
      </c>
      <c r="H82" s="41"/>
      <c r="I82" s="117">
        <v>1652</v>
      </c>
      <c r="J82" s="41" t="s">
        <v>284</v>
      </c>
      <c r="K82" s="59" t="s">
        <v>528</v>
      </c>
    </row>
    <row r="83" spans="1:11" ht="18.5" x14ac:dyDescent="0.45">
      <c r="A83" s="3" t="s">
        <v>503</v>
      </c>
      <c r="B83" s="3"/>
      <c r="C83" s="5" t="s">
        <v>499</v>
      </c>
      <c r="D83" s="41">
        <v>108</v>
      </c>
      <c r="E83" s="41">
        <v>14000</v>
      </c>
      <c r="F83" s="41">
        <v>1260</v>
      </c>
      <c r="G83" s="41">
        <v>1260</v>
      </c>
      <c r="H83" s="41"/>
      <c r="I83" s="117">
        <v>16520</v>
      </c>
      <c r="J83" s="41" t="s">
        <v>533</v>
      </c>
      <c r="K83" s="59"/>
    </row>
    <row r="84" spans="1:11" ht="18.5" x14ac:dyDescent="0.45">
      <c r="A84" s="3" t="s">
        <v>291</v>
      </c>
      <c r="B84" s="3"/>
      <c r="C84" s="5" t="s">
        <v>499</v>
      </c>
      <c r="D84" s="41">
        <v>109</v>
      </c>
      <c r="E84" s="41">
        <v>5000</v>
      </c>
      <c r="F84" s="41">
        <v>450</v>
      </c>
      <c r="G84" s="41">
        <v>450</v>
      </c>
      <c r="H84" s="41"/>
      <c r="I84" s="117">
        <v>5900</v>
      </c>
      <c r="J84" s="41" t="s">
        <v>215</v>
      </c>
      <c r="K84" s="59" t="s">
        <v>482</v>
      </c>
    </row>
    <row r="85" spans="1:11" ht="18.5" x14ac:dyDescent="0.45">
      <c r="A85" s="3" t="s">
        <v>406</v>
      </c>
      <c r="B85" s="3">
        <v>8428000331</v>
      </c>
      <c r="C85" s="5" t="s">
        <v>499</v>
      </c>
      <c r="D85" s="41">
        <v>110</v>
      </c>
      <c r="E85" s="41">
        <v>23986</v>
      </c>
      <c r="F85" s="41">
        <v>2158.7399999999998</v>
      </c>
      <c r="G85" s="41">
        <v>2158.7399999999998</v>
      </c>
      <c r="H85" s="41"/>
      <c r="I85" s="117">
        <v>28303.48</v>
      </c>
      <c r="J85" s="41" t="s">
        <v>413</v>
      </c>
      <c r="K85" s="59" t="s">
        <v>482</v>
      </c>
    </row>
    <row r="86" spans="1:11" ht="18.5" x14ac:dyDescent="0.45">
      <c r="A86" s="3" t="s">
        <v>489</v>
      </c>
      <c r="B86" s="3"/>
      <c r="C86" s="5" t="s">
        <v>499</v>
      </c>
      <c r="D86" s="41">
        <v>111</v>
      </c>
      <c r="E86" s="41">
        <v>5499</v>
      </c>
      <c r="F86" s="41">
        <v>494.91</v>
      </c>
      <c r="G86" s="41">
        <v>494.91</v>
      </c>
      <c r="H86" s="41"/>
      <c r="I86" s="117">
        <v>6488.82</v>
      </c>
      <c r="J86" s="59" t="s">
        <v>335</v>
      </c>
      <c r="K86" s="59" t="s">
        <v>528</v>
      </c>
    </row>
    <row r="87" spans="1:11" ht="18.5" x14ac:dyDescent="0.45">
      <c r="A87" s="3" t="s">
        <v>417</v>
      </c>
      <c r="B87" s="3"/>
      <c r="C87" s="41" t="s">
        <v>488</v>
      </c>
      <c r="D87" s="41">
        <v>112</v>
      </c>
      <c r="E87" s="41">
        <v>5000</v>
      </c>
      <c r="F87" s="41">
        <v>450</v>
      </c>
      <c r="G87" s="41">
        <v>450</v>
      </c>
      <c r="H87" s="41"/>
      <c r="I87" s="117">
        <v>5900</v>
      </c>
      <c r="J87" s="59" t="s">
        <v>235</v>
      </c>
      <c r="K87" s="59"/>
    </row>
    <row r="88" spans="1:11" ht="18.5" x14ac:dyDescent="0.45">
      <c r="A88" s="3" t="s">
        <v>497</v>
      </c>
      <c r="B88" s="5">
        <v>6381549271</v>
      </c>
      <c r="C88" s="41" t="s">
        <v>492</v>
      </c>
      <c r="D88" s="41">
        <v>113</v>
      </c>
      <c r="E88" s="41">
        <v>4500</v>
      </c>
      <c r="F88" s="41">
        <v>405</v>
      </c>
      <c r="G88" s="41">
        <v>405</v>
      </c>
      <c r="H88" s="41"/>
      <c r="I88" s="117">
        <v>5310</v>
      </c>
      <c r="J88" s="59" t="s">
        <v>534</v>
      </c>
      <c r="K88" s="59" t="s">
        <v>496</v>
      </c>
    </row>
    <row r="89" spans="1:11" ht="18.5" x14ac:dyDescent="0.45">
      <c r="A89" s="31" t="s">
        <v>576</v>
      </c>
      <c r="B89" s="3"/>
      <c r="C89" s="41" t="s">
        <v>515</v>
      </c>
      <c r="D89" s="41">
        <v>114</v>
      </c>
      <c r="E89" s="41">
        <v>8970</v>
      </c>
      <c r="F89" s="41">
        <v>807.3</v>
      </c>
      <c r="G89" s="41">
        <v>807.3</v>
      </c>
      <c r="H89" s="41"/>
      <c r="I89" s="117">
        <v>10584.6</v>
      </c>
      <c r="J89" s="59" t="s">
        <v>283</v>
      </c>
      <c r="K89" s="59" t="s">
        <v>721</v>
      </c>
    </row>
    <row r="90" spans="1:11" ht="18.5" x14ac:dyDescent="0.45">
      <c r="A90" s="31" t="s">
        <v>576</v>
      </c>
      <c r="B90" s="3"/>
      <c r="C90" s="41" t="s">
        <v>515</v>
      </c>
      <c r="D90" s="41">
        <v>115</v>
      </c>
      <c r="E90" s="41">
        <v>2600</v>
      </c>
      <c r="F90" s="41">
        <v>234</v>
      </c>
      <c r="G90" s="41">
        <v>234</v>
      </c>
      <c r="H90" s="41"/>
      <c r="I90" s="117">
        <v>3068</v>
      </c>
      <c r="J90" s="59" t="s">
        <v>283</v>
      </c>
      <c r="K90" s="59" t="s">
        <v>628</v>
      </c>
    </row>
    <row r="91" spans="1:11" ht="18.5" x14ac:dyDescent="0.45">
      <c r="A91" s="3" t="s">
        <v>500</v>
      </c>
      <c r="B91" s="3"/>
      <c r="C91" s="41" t="s">
        <v>515</v>
      </c>
      <c r="D91" s="41">
        <v>116</v>
      </c>
      <c r="E91" s="41">
        <v>6500</v>
      </c>
      <c r="F91" s="41">
        <v>585</v>
      </c>
      <c r="G91" s="41">
        <v>585</v>
      </c>
      <c r="H91" s="41"/>
      <c r="I91" s="117">
        <v>7670</v>
      </c>
      <c r="J91" s="59" t="s">
        <v>535</v>
      </c>
      <c r="K91" s="59" t="s">
        <v>229</v>
      </c>
    </row>
    <row r="92" spans="1:11" ht="18.5" x14ac:dyDescent="0.45">
      <c r="A92" s="31" t="s">
        <v>509</v>
      </c>
      <c r="B92" s="3"/>
      <c r="C92" s="41" t="s">
        <v>515</v>
      </c>
      <c r="D92" s="41">
        <v>117</v>
      </c>
      <c r="E92" s="41">
        <v>3000</v>
      </c>
      <c r="F92" s="41">
        <v>270</v>
      </c>
      <c r="G92" s="41">
        <v>270</v>
      </c>
      <c r="H92" s="41"/>
      <c r="I92" s="117">
        <v>3540</v>
      </c>
      <c r="J92" s="59" t="s">
        <v>534</v>
      </c>
      <c r="K92" s="59" t="s">
        <v>515</v>
      </c>
    </row>
    <row r="93" spans="1:11" ht="18.5" x14ac:dyDescent="0.45">
      <c r="A93" s="31" t="s">
        <v>508</v>
      </c>
      <c r="B93" s="3"/>
      <c r="C93" s="41" t="s">
        <v>515</v>
      </c>
      <c r="D93" s="41">
        <v>118</v>
      </c>
      <c r="E93" s="41">
        <v>12000</v>
      </c>
      <c r="F93" s="41">
        <v>1080</v>
      </c>
      <c r="G93" s="41">
        <v>1080</v>
      </c>
      <c r="H93" s="41"/>
      <c r="I93" s="117">
        <v>14160</v>
      </c>
      <c r="J93" s="59" t="s">
        <v>534</v>
      </c>
      <c r="K93" s="59" t="s">
        <v>515</v>
      </c>
    </row>
    <row r="94" spans="1:11" ht="18.5" x14ac:dyDescent="0.45">
      <c r="A94" s="3" t="s">
        <v>405</v>
      </c>
      <c r="B94" s="3"/>
      <c r="C94" s="41" t="s">
        <v>511</v>
      </c>
      <c r="D94" s="41">
        <v>119</v>
      </c>
      <c r="E94" s="41">
        <v>1400</v>
      </c>
      <c r="F94" s="41">
        <v>126</v>
      </c>
      <c r="G94" s="41">
        <v>126</v>
      </c>
      <c r="H94" s="41"/>
      <c r="I94" s="117">
        <v>1652</v>
      </c>
      <c r="J94" s="41" t="s">
        <v>333</v>
      </c>
      <c r="K94" s="59" t="s">
        <v>528</v>
      </c>
    </row>
    <row r="95" spans="1:11" ht="18.5" x14ac:dyDescent="0.45">
      <c r="A95" s="3" t="s">
        <v>385</v>
      </c>
      <c r="B95" s="3">
        <v>9952955111</v>
      </c>
      <c r="C95" s="41" t="s">
        <v>511</v>
      </c>
      <c r="D95" s="41">
        <v>120</v>
      </c>
      <c r="E95" s="41">
        <v>5206</v>
      </c>
      <c r="F95" s="41">
        <v>468.54</v>
      </c>
      <c r="G95" s="41">
        <v>468.54</v>
      </c>
      <c r="H95" s="41"/>
      <c r="I95" s="117">
        <v>6143.08</v>
      </c>
      <c r="J95" s="41" t="s">
        <v>410</v>
      </c>
      <c r="K95" s="59" t="s">
        <v>708</v>
      </c>
    </row>
    <row r="96" spans="1:11" ht="18.5" x14ac:dyDescent="0.45">
      <c r="A96" s="3" t="s">
        <v>519</v>
      </c>
      <c r="B96" s="3"/>
      <c r="C96" s="5" t="s">
        <v>525</v>
      </c>
      <c r="D96" s="41">
        <v>121</v>
      </c>
      <c r="E96" s="41">
        <v>25300</v>
      </c>
      <c r="F96" s="41">
        <v>2277</v>
      </c>
      <c r="G96" s="41">
        <v>2277</v>
      </c>
      <c r="H96" s="41"/>
      <c r="I96" s="117">
        <v>29854</v>
      </c>
      <c r="J96" s="41" t="s">
        <v>536</v>
      </c>
      <c r="K96" s="59" t="s">
        <v>521</v>
      </c>
    </row>
    <row r="97" spans="1:11" ht="18.5" x14ac:dyDescent="0.45">
      <c r="A97" s="3" t="s">
        <v>520</v>
      </c>
      <c r="B97" s="3"/>
      <c r="C97" s="5" t="s">
        <v>525</v>
      </c>
      <c r="D97" s="41">
        <v>122</v>
      </c>
      <c r="E97" s="41">
        <v>41746</v>
      </c>
      <c r="F97" s="41">
        <v>3757.14</v>
      </c>
      <c r="G97" s="41">
        <v>3757.14</v>
      </c>
      <c r="H97" s="41"/>
      <c r="I97" s="117">
        <v>49260.28</v>
      </c>
      <c r="J97" s="41" t="s">
        <v>537</v>
      </c>
      <c r="K97" s="59" t="s">
        <v>525</v>
      </c>
    </row>
    <row r="98" spans="1:11" ht="18.5" x14ac:dyDescent="0.45">
      <c r="A98" s="3" t="s">
        <v>454</v>
      </c>
      <c r="B98" s="3"/>
      <c r="C98" s="5" t="s">
        <v>525</v>
      </c>
      <c r="D98" s="41">
        <v>123</v>
      </c>
      <c r="E98" s="41">
        <v>2100</v>
      </c>
      <c r="F98" s="41"/>
      <c r="G98" s="41"/>
      <c r="H98" s="41">
        <v>378</v>
      </c>
      <c r="I98" s="117">
        <v>2478</v>
      </c>
      <c r="J98" s="59" t="s">
        <v>334</v>
      </c>
      <c r="K98" s="59" t="s">
        <v>599</v>
      </c>
    </row>
    <row r="99" spans="1:11" ht="18.5" x14ac:dyDescent="0.45">
      <c r="A99" s="3" t="s">
        <v>459</v>
      </c>
      <c r="B99" s="3"/>
      <c r="C99" s="41" t="s">
        <v>528</v>
      </c>
      <c r="D99" s="41">
        <v>124</v>
      </c>
      <c r="E99" s="41">
        <v>2000</v>
      </c>
      <c r="F99" s="41">
        <v>180</v>
      </c>
      <c r="G99" s="41">
        <v>180</v>
      </c>
      <c r="H99" s="41"/>
      <c r="I99" s="117">
        <v>2360</v>
      </c>
      <c r="J99" s="41" t="s">
        <v>467</v>
      </c>
      <c r="K99" s="59" t="s">
        <v>712</v>
      </c>
    </row>
    <row r="100" spans="1:11" ht="18.5" x14ac:dyDescent="0.45">
      <c r="A100" s="3"/>
      <c r="B100" s="3"/>
      <c r="C100" s="5"/>
      <c r="D100" s="41"/>
      <c r="E100" s="41"/>
      <c r="F100" s="41"/>
      <c r="G100" s="41"/>
      <c r="H100" s="41"/>
      <c r="I100" s="117"/>
      <c r="J100" s="41"/>
      <c r="K100" s="59"/>
    </row>
    <row r="101" spans="1:11" ht="18.5" x14ac:dyDescent="0.45">
      <c r="A101" s="3"/>
      <c r="B101" s="3"/>
      <c r="C101" s="41"/>
      <c r="D101" s="41"/>
      <c r="E101" s="41"/>
      <c r="F101" s="41"/>
      <c r="G101" s="41"/>
      <c r="H101" s="41"/>
      <c r="I101" s="117"/>
      <c r="J101" s="41"/>
      <c r="K101" s="59"/>
    </row>
    <row r="102" spans="1:11" ht="18.5" x14ac:dyDescent="0.45">
      <c r="A102" s="3"/>
      <c r="B102" s="3"/>
      <c r="C102" s="41"/>
      <c r="D102" s="41"/>
      <c r="E102" s="87">
        <v>306330</v>
      </c>
      <c r="F102" s="87">
        <v>27380.7</v>
      </c>
      <c r="G102" s="87">
        <v>27380.7</v>
      </c>
      <c r="H102" s="87">
        <v>378</v>
      </c>
      <c r="I102" s="87">
        <v>361469.4</v>
      </c>
      <c r="J102" s="41"/>
      <c r="K102" s="59"/>
    </row>
    <row r="103" spans="1:11" ht="18.5" x14ac:dyDescent="0.45">
      <c r="A103" s="3"/>
      <c r="B103" s="3"/>
      <c r="C103" s="41"/>
      <c r="D103" s="41"/>
      <c r="E103" s="120"/>
      <c r="F103" s="120"/>
      <c r="G103" s="120"/>
      <c r="H103" s="120"/>
      <c r="I103" s="120"/>
      <c r="J103" s="41"/>
      <c r="K103" s="59"/>
    </row>
    <row r="104" spans="1:11" ht="18.5" x14ac:dyDescent="0.45">
      <c r="A104" s="3"/>
      <c r="B104" s="3"/>
      <c r="C104" s="41" t="s">
        <v>88</v>
      </c>
      <c r="D104" s="41" t="s">
        <v>82</v>
      </c>
      <c r="E104" s="41" t="s">
        <v>89</v>
      </c>
      <c r="F104" s="41" t="s">
        <v>468</v>
      </c>
      <c r="G104" s="41" t="s">
        <v>469</v>
      </c>
      <c r="H104" s="41" t="s">
        <v>470</v>
      </c>
      <c r="I104" s="41" t="s">
        <v>84</v>
      </c>
      <c r="J104" s="41" t="s">
        <v>189</v>
      </c>
      <c r="K104" s="59"/>
    </row>
    <row r="105" spans="1:11" ht="18.5" x14ac:dyDescent="0.45">
      <c r="A105" s="3"/>
      <c r="B105" s="3"/>
      <c r="C105" s="87" t="s">
        <v>556</v>
      </c>
      <c r="D105" s="87" t="s">
        <v>557</v>
      </c>
      <c r="E105" s="87" t="s">
        <v>558</v>
      </c>
      <c r="F105" s="41"/>
      <c r="G105" s="41"/>
      <c r="H105" s="41"/>
      <c r="I105" s="41"/>
      <c r="J105" s="41"/>
      <c r="K105" s="59"/>
    </row>
    <row r="106" spans="1:11" ht="18.5" x14ac:dyDescent="0.45">
      <c r="A106" s="3" t="s">
        <v>559</v>
      </c>
      <c r="B106" s="3"/>
      <c r="C106" s="41" t="s">
        <v>492</v>
      </c>
      <c r="D106" s="117">
        <v>1936</v>
      </c>
      <c r="E106" s="118">
        <v>103389.81</v>
      </c>
      <c r="F106" s="118">
        <v>9305.08</v>
      </c>
      <c r="G106" s="118">
        <v>9305.08</v>
      </c>
      <c r="H106" s="41"/>
      <c r="I106" s="41">
        <v>122000</v>
      </c>
      <c r="J106" s="41"/>
      <c r="K106" s="59"/>
    </row>
    <row r="107" spans="1:11" ht="18.5" x14ac:dyDescent="0.45">
      <c r="A107" s="3" t="s">
        <v>560</v>
      </c>
      <c r="B107" s="3"/>
      <c r="C107" s="41" t="s">
        <v>492</v>
      </c>
      <c r="D107" s="117" t="s">
        <v>561</v>
      </c>
      <c r="E107" s="118">
        <v>8300</v>
      </c>
      <c r="F107" s="118">
        <v>747</v>
      </c>
      <c r="G107" s="118">
        <v>747</v>
      </c>
      <c r="H107" s="41"/>
      <c r="I107" s="41">
        <v>9794</v>
      </c>
      <c r="J107" s="41"/>
      <c r="K107" s="59"/>
    </row>
    <row r="108" spans="1:11" ht="18.5" x14ac:dyDescent="0.45">
      <c r="A108" s="3" t="s">
        <v>562</v>
      </c>
      <c r="B108" s="3"/>
      <c r="C108" s="41" t="s">
        <v>563</v>
      </c>
      <c r="D108" s="117" t="s">
        <v>564</v>
      </c>
      <c r="E108" s="118">
        <v>1271.19</v>
      </c>
      <c r="F108" s="118">
        <v>114.41</v>
      </c>
      <c r="G108" s="118">
        <v>114.41</v>
      </c>
      <c r="H108" s="41"/>
      <c r="I108" s="41">
        <v>1500</v>
      </c>
      <c r="J108" s="41"/>
      <c r="K108" s="59"/>
    </row>
    <row r="109" spans="1:11" ht="18.5" x14ac:dyDescent="0.45">
      <c r="A109" s="3" t="s">
        <v>567</v>
      </c>
      <c r="B109" s="3"/>
      <c r="C109" s="41" t="s">
        <v>525</v>
      </c>
      <c r="D109" s="117" t="s">
        <v>568</v>
      </c>
      <c r="E109" s="118">
        <v>109661.03</v>
      </c>
      <c r="F109" s="118">
        <v>9880.93</v>
      </c>
      <c r="G109" s="118">
        <v>9880.93</v>
      </c>
      <c r="H109" s="41"/>
      <c r="I109" s="41">
        <v>129550</v>
      </c>
      <c r="J109" s="41"/>
      <c r="K109" s="59"/>
    </row>
    <row r="110" spans="1:11" ht="18.5" x14ac:dyDescent="0.45">
      <c r="A110" s="3" t="s">
        <v>569</v>
      </c>
      <c r="B110" s="3"/>
      <c r="C110" s="5" t="s">
        <v>525</v>
      </c>
      <c r="D110" s="117" t="s">
        <v>570</v>
      </c>
      <c r="E110" s="118">
        <v>437500</v>
      </c>
      <c r="F110" s="118">
        <v>39375</v>
      </c>
      <c r="G110" s="118">
        <v>39375</v>
      </c>
      <c r="H110" s="41"/>
      <c r="I110" s="41">
        <v>516250</v>
      </c>
      <c r="J110" s="41"/>
      <c r="K110" s="59"/>
    </row>
    <row r="111" spans="1:11" ht="18.5" x14ac:dyDescent="0.45">
      <c r="A111" s="3" t="s">
        <v>565</v>
      </c>
      <c r="B111" s="3"/>
      <c r="C111" s="41" t="s">
        <v>526</v>
      </c>
      <c r="D111" s="117">
        <v>252613194</v>
      </c>
      <c r="E111" s="118">
        <v>83336.460000000006</v>
      </c>
      <c r="F111" s="118">
        <v>7500.28</v>
      </c>
      <c r="G111" s="118">
        <v>7500.28</v>
      </c>
      <c r="H111" s="41"/>
      <c r="I111" s="41">
        <v>98337</v>
      </c>
      <c r="J111" s="41" t="s">
        <v>566</v>
      </c>
      <c r="K111" s="59"/>
    </row>
    <row r="112" spans="1:11" ht="18.5" x14ac:dyDescent="0.45">
      <c r="A112" s="3" t="s">
        <v>571</v>
      </c>
      <c r="B112" s="3"/>
      <c r="C112" s="41" t="s">
        <v>526</v>
      </c>
      <c r="D112" s="117">
        <v>2034</v>
      </c>
      <c r="E112" s="41">
        <v>48305.07</v>
      </c>
      <c r="F112" s="41">
        <v>4347.46</v>
      </c>
      <c r="G112" s="41">
        <v>4347.46</v>
      </c>
      <c r="H112" s="41"/>
      <c r="I112" s="41">
        <v>57000</v>
      </c>
      <c r="J112" s="41"/>
      <c r="K112" s="59"/>
    </row>
    <row r="113" spans="1:11" ht="18.5" x14ac:dyDescent="0.45">
      <c r="A113" s="3" t="s">
        <v>560</v>
      </c>
      <c r="B113" s="3"/>
      <c r="C113" s="41" t="s">
        <v>526</v>
      </c>
      <c r="D113" s="41" t="s">
        <v>572</v>
      </c>
      <c r="E113" s="41">
        <v>51700</v>
      </c>
      <c r="F113" s="41">
        <v>4653</v>
      </c>
      <c r="G113" s="41">
        <v>4653</v>
      </c>
      <c r="H113" s="41"/>
      <c r="I113" s="41">
        <v>61006</v>
      </c>
      <c r="J113" s="41"/>
      <c r="K113" s="59"/>
    </row>
    <row r="114" spans="1:11" ht="18.5" x14ac:dyDescent="0.45">
      <c r="A114" s="3" t="s">
        <v>571</v>
      </c>
      <c r="B114" s="3"/>
      <c r="C114" s="3" t="s">
        <v>528</v>
      </c>
      <c r="D114" s="117">
        <v>2040</v>
      </c>
      <c r="E114" s="41">
        <v>80508.45</v>
      </c>
      <c r="F114" s="41">
        <v>7245.76</v>
      </c>
      <c r="G114" s="41">
        <v>7245.76</v>
      </c>
      <c r="H114" s="41"/>
      <c r="I114" s="41">
        <v>95000</v>
      </c>
      <c r="J114" s="59"/>
      <c r="K114" s="54"/>
    </row>
    <row r="115" spans="1:11" ht="18.5" x14ac:dyDescent="0.45">
      <c r="A115" s="3"/>
      <c r="B115" s="3"/>
      <c r="C115" s="3"/>
      <c r="D115" s="41"/>
      <c r="E115" s="41"/>
      <c r="F115" s="41"/>
      <c r="G115" s="41"/>
      <c r="H115" s="41"/>
      <c r="I115" s="41"/>
      <c r="J115" s="59"/>
      <c r="K115" s="54"/>
    </row>
    <row r="116" spans="1:11" ht="18.5" x14ac:dyDescent="0.45">
      <c r="A116" s="3"/>
      <c r="B116" s="5"/>
      <c r="C116" s="3"/>
      <c r="D116" s="41"/>
      <c r="E116" s="41"/>
      <c r="F116" s="41"/>
      <c r="G116" s="41"/>
      <c r="H116" s="41"/>
      <c r="I116" s="41"/>
      <c r="J116" s="59"/>
      <c r="K116" s="54"/>
    </row>
    <row r="117" spans="1:11" ht="18.5" x14ac:dyDescent="0.45">
      <c r="A117" s="3"/>
      <c r="B117" s="5"/>
      <c r="C117" s="3"/>
      <c r="D117" s="41"/>
      <c r="E117" s="41"/>
      <c r="F117" s="41"/>
      <c r="G117" s="41"/>
      <c r="H117" s="41"/>
      <c r="I117" s="41"/>
      <c r="J117" s="59"/>
      <c r="K117" s="54"/>
    </row>
    <row r="118" spans="1:11" ht="18.5" x14ac:dyDescent="0.45">
      <c r="A118" s="3"/>
      <c r="B118" s="5"/>
      <c r="C118" s="3"/>
      <c r="D118" s="41"/>
      <c r="E118" s="41"/>
      <c r="F118" s="41"/>
      <c r="G118" s="41"/>
      <c r="H118" s="41"/>
      <c r="I118" s="41"/>
      <c r="J118" s="59"/>
      <c r="K118" s="54"/>
    </row>
    <row r="119" spans="1:11" ht="18.5" x14ac:dyDescent="0.45">
      <c r="A119" s="3"/>
      <c r="B119" s="5"/>
      <c r="C119" s="3"/>
      <c r="D119" s="41"/>
      <c r="E119" s="41"/>
      <c r="F119" s="41"/>
      <c r="G119" s="41"/>
      <c r="H119" s="41"/>
      <c r="I119" s="41"/>
      <c r="J119" s="59"/>
      <c r="K119" s="77"/>
    </row>
    <row r="120" spans="1:11" ht="18.5" x14ac:dyDescent="0.45">
      <c r="A120" s="3"/>
      <c r="B120" s="5"/>
      <c r="C120" s="3"/>
      <c r="D120" s="41"/>
      <c r="E120" s="41"/>
      <c r="F120" s="41"/>
      <c r="G120" s="41"/>
      <c r="H120" s="41"/>
      <c r="I120" s="41"/>
      <c r="J120" s="59"/>
      <c r="K120" s="54"/>
    </row>
    <row r="121" spans="1:11" ht="18.5" x14ac:dyDescent="0.45">
      <c r="A121" s="3"/>
      <c r="B121" s="5"/>
      <c r="C121" s="3"/>
      <c r="D121" s="41"/>
      <c r="E121" s="41"/>
      <c r="F121" s="41"/>
      <c r="G121" s="41"/>
      <c r="H121" s="41"/>
      <c r="I121" s="41"/>
      <c r="J121" s="59"/>
      <c r="K121" s="54"/>
    </row>
    <row r="122" spans="1:11" x14ac:dyDescent="0.35">
      <c r="A122" s="69"/>
      <c r="B122" s="92"/>
      <c r="C122" s="104"/>
      <c r="D122" s="68"/>
      <c r="E122" s="68"/>
      <c r="F122" s="68"/>
      <c r="G122" s="68"/>
      <c r="H122" s="68"/>
      <c r="I122" s="68"/>
      <c r="J122" s="68"/>
      <c r="K122" s="102"/>
    </row>
    <row r="123" spans="1:11" x14ac:dyDescent="0.35">
      <c r="A123" s="69"/>
      <c r="B123" s="92"/>
      <c r="C123" s="92"/>
      <c r="D123" s="68"/>
      <c r="E123" s="68"/>
      <c r="F123" s="68"/>
      <c r="G123" s="68"/>
      <c r="H123" s="68"/>
      <c r="I123" s="68"/>
      <c r="J123" s="68"/>
      <c r="K123" s="102"/>
    </row>
    <row r="124" spans="1:11" x14ac:dyDescent="0.35">
      <c r="A124" s="69"/>
      <c r="B124" s="69"/>
      <c r="C124" s="69"/>
      <c r="D124" s="68"/>
      <c r="E124" s="68"/>
      <c r="F124" s="68"/>
      <c r="G124" s="68"/>
      <c r="H124" s="68"/>
      <c r="I124" s="68"/>
      <c r="J124" s="101"/>
      <c r="K124" s="102"/>
    </row>
    <row r="125" spans="1:11" x14ac:dyDescent="0.35">
      <c r="A125" s="69"/>
      <c r="B125" s="69"/>
      <c r="C125" s="69"/>
      <c r="D125" s="68"/>
      <c r="E125" s="68"/>
      <c r="F125" s="68"/>
      <c r="G125" s="68"/>
      <c r="H125" s="68"/>
      <c r="I125" s="68"/>
      <c r="J125" s="101"/>
      <c r="K125" s="102"/>
    </row>
    <row r="126" spans="1:11" x14ac:dyDescent="0.35">
      <c r="A126" s="69"/>
      <c r="B126" s="69"/>
      <c r="C126" s="69"/>
      <c r="D126" s="68"/>
      <c r="E126" s="68"/>
      <c r="F126" s="68"/>
      <c r="G126" s="68"/>
      <c r="H126" s="68"/>
      <c r="I126" s="68"/>
      <c r="J126" s="101"/>
      <c r="K126" s="102"/>
    </row>
    <row r="127" spans="1:11" x14ac:dyDescent="0.35">
      <c r="A127" s="69"/>
      <c r="B127" s="69"/>
      <c r="C127" s="69"/>
      <c r="D127" s="68"/>
      <c r="E127" s="68"/>
      <c r="F127" s="68"/>
      <c r="G127" s="68"/>
      <c r="H127" s="68"/>
      <c r="I127" s="68"/>
      <c r="J127" s="101"/>
      <c r="K127" s="102"/>
    </row>
    <row r="128" spans="1:11" x14ac:dyDescent="0.35">
      <c r="A128" s="69"/>
      <c r="B128" s="69"/>
      <c r="C128" s="69"/>
      <c r="D128" s="68"/>
      <c r="E128" s="68"/>
      <c r="F128" s="68"/>
      <c r="G128" s="68"/>
      <c r="H128" s="68"/>
      <c r="I128" s="68"/>
      <c r="J128" s="101"/>
      <c r="K128" s="102"/>
    </row>
    <row r="129" spans="1:11" x14ac:dyDescent="0.35">
      <c r="A129" s="69"/>
      <c r="B129" s="69"/>
      <c r="C129" s="69"/>
      <c r="D129" s="68"/>
      <c r="E129" s="68"/>
      <c r="F129" s="68"/>
      <c r="G129" s="68"/>
      <c r="H129" s="68"/>
      <c r="I129" s="68"/>
      <c r="J129" s="101"/>
      <c r="K129" s="102"/>
    </row>
    <row r="130" spans="1:11" x14ac:dyDescent="0.35">
      <c r="A130" s="69"/>
      <c r="B130" s="69"/>
      <c r="C130" s="69"/>
      <c r="D130" s="68"/>
      <c r="E130" s="68"/>
      <c r="F130" s="68"/>
      <c r="G130" s="68"/>
      <c r="H130" s="68"/>
      <c r="I130" s="68"/>
      <c r="J130" s="101"/>
      <c r="K130" s="102"/>
    </row>
    <row r="131" spans="1:11" x14ac:dyDescent="0.35">
      <c r="A131" s="69"/>
      <c r="B131" s="69"/>
      <c r="C131" s="69"/>
      <c r="D131" s="68"/>
      <c r="E131" s="68"/>
      <c r="F131" s="68"/>
      <c r="G131" s="68"/>
      <c r="H131" s="68"/>
      <c r="I131" s="68"/>
      <c r="J131" s="101"/>
      <c r="K131" s="102"/>
    </row>
    <row r="132" spans="1:11" x14ac:dyDescent="0.35">
      <c r="A132" s="69"/>
      <c r="B132" s="92"/>
      <c r="C132" s="69"/>
      <c r="D132" s="68"/>
      <c r="E132" s="68"/>
      <c r="F132" s="68"/>
      <c r="G132" s="68"/>
      <c r="H132" s="68"/>
      <c r="I132" s="68"/>
      <c r="J132" s="101"/>
      <c r="K132" s="102"/>
    </row>
    <row r="133" spans="1:11" x14ac:dyDescent="0.35">
      <c r="A133" s="69"/>
      <c r="B133" s="92"/>
      <c r="C133" s="69"/>
      <c r="D133" s="68"/>
      <c r="E133" s="68"/>
      <c r="F133" s="68"/>
      <c r="G133" s="68"/>
      <c r="H133" s="68"/>
      <c r="I133" s="68"/>
      <c r="J133" s="101"/>
      <c r="K133" s="102"/>
    </row>
    <row r="134" spans="1:11" x14ac:dyDescent="0.35">
      <c r="A134" s="69"/>
      <c r="B134" s="92"/>
      <c r="C134" s="69"/>
      <c r="D134" s="68"/>
      <c r="E134" s="68"/>
      <c r="F134" s="68"/>
      <c r="G134" s="68"/>
      <c r="H134" s="68"/>
      <c r="I134" s="68"/>
      <c r="J134" s="101"/>
      <c r="K134" s="102"/>
    </row>
    <row r="135" spans="1:11" x14ac:dyDescent="0.35">
      <c r="A135" s="69"/>
      <c r="B135" s="92"/>
      <c r="C135" s="69"/>
      <c r="D135" s="68"/>
      <c r="E135" s="68"/>
      <c r="F135" s="68"/>
      <c r="G135" s="68"/>
      <c r="H135" s="68"/>
      <c r="I135" s="68"/>
      <c r="J135" s="101"/>
      <c r="K135" s="101"/>
    </row>
    <row r="136" spans="1:11" x14ac:dyDescent="0.35">
      <c r="A136" s="69"/>
      <c r="B136" s="92"/>
      <c r="C136" s="69"/>
      <c r="D136" s="68"/>
      <c r="E136" s="68"/>
      <c r="F136" s="68"/>
      <c r="G136" s="68"/>
      <c r="H136" s="68"/>
      <c r="I136" s="68"/>
      <c r="J136" s="101"/>
      <c r="K136" s="102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2"/>
  <sheetViews>
    <sheetView workbookViewId="0">
      <selection activeCell="F7" sqref="F7"/>
    </sheetView>
  </sheetViews>
  <sheetFormatPr defaultRowHeight="14.5" x14ac:dyDescent="0.35"/>
  <cols>
    <col min="1" max="1" width="58.1796875" bestFit="1" customWidth="1"/>
    <col min="2" max="2" width="15.26953125" customWidth="1"/>
    <col min="3" max="3" width="11.453125" customWidth="1"/>
    <col min="4" max="4" width="20.81640625" customWidth="1"/>
    <col min="5" max="5" width="14.1796875" customWidth="1"/>
    <col min="6" max="6" width="12.7265625" bestFit="1" customWidth="1"/>
    <col min="7" max="7" width="17.1796875" customWidth="1"/>
    <col min="8" max="8" width="18.26953125" customWidth="1"/>
    <col min="9" max="9" width="14.26953125" bestFit="1" customWidth="1"/>
    <col min="10" max="10" width="26" bestFit="1" customWidth="1"/>
  </cols>
  <sheetData>
    <row r="2" spans="1:10" ht="18.75" x14ac:dyDescent="0.3">
      <c r="A2" s="3" t="s">
        <v>0</v>
      </c>
      <c r="B2" s="5">
        <v>7299917887</v>
      </c>
      <c r="C2" s="3"/>
      <c r="D2" s="5">
        <v>14500</v>
      </c>
      <c r="E2" s="5" t="s">
        <v>582</v>
      </c>
      <c r="F2" s="79">
        <v>47200</v>
      </c>
      <c r="G2" s="3" t="s">
        <v>423</v>
      </c>
      <c r="H2" s="46" t="s">
        <v>587</v>
      </c>
      <c r="I2" s="21"/>
      <c r="J2" s="21"/>
    </row>
    <row r="3" spans="1:10" ht="18.75" x14ac:dyDescent="0.3">
      <c r="A3" s="3" t="s">
        <v>36</v>
      </c>
      <c r="B3" s="3">
        <v>7904401435</v>
      </c>
      <c r="C3" s="3" t="s">
        <v>23</v>
      </c>
      <c r="D3" s="5">
        <v>1750</v>
      </c>
      <c r="E3" s="5"/>
      <c r="F3" s="80"/>
      <c r="G3" s="3"/>
      <c r="H3" s="23" t="s">
        <v>574</v>
      </c>
      <c r="I3" s="23"/>
      <c r="J3" s="21"/>
    </row>
    <row r="4" spans="1:10" ht="18.75" x14ac:dyDescent="0.3">
      <c r="A4" s="8" t="s">
        <v>248</v>
      </c>
      <c r="B4" s="5">
        <v>7550283099</v>
      </c>
      <c r="C4" s="3" t="s">
        <v>44</v>
      </c>
      <c r="D4" s="58">
        <v>6850</v>
      </c>
      <c r="E4" s="5"/>
      <c r="F4" s="80"/>
      <c r="G4" s="3"/>
      <c r="H4" s="46"/>
      <c r="I4" s="21"/>
      <c r="J4" s="21"/>
    </row>
    <row r="5" spans="1:10" ht="18.75" x14ac:dyDescent="0.3">
      <c r="A5" s="8" t="s">
        <v>629</v>
      </c>
      <c r="B5" s="5"/>
      <c r="C5" s="3" t="s">
        <v>5</v>
      </c>
      <c r="D5" s="58">
        <v>3000</v>
      </c>
      <c r="E5" s="5" t="s">
        <v>613</v>
      </c>
      <c r="F5" s="80">
        <v>3000</v>
      </c>
      <c r="G5" s="3" t="s">
        <v>47</v>
      </c>
      <c r="H5" s="46"/>
      <c r="I5" s="21"/>
      <c r="J5" s="21"/>
    </row>
    <row r="6" spans="1:10" ht="18.75" x14ac:dyDescent="0.3">
      <c r="A6" s="8" t="s">
        <v>45</v>
      </c>
      <c r="B6" s="5">
        <v>7904622354</v>
      </c>
      <c r="C6" s="3" t="s">
        <v>46</v>
      </c>
      <c r="D6" s="5">
        <v>3200</v>
      </c>
      <c r="E6" s="58" t="s">
        <v>628</v>
      </c>
      <c r="F6" s="5">
        <v>3200</v>
      </c>
      <c r="G6" s="3" t="s">
        <v>423</v>
      </c>
      <c r="H6" s="46"/>
      <c r="I6" s="21"/>
      <c r="J6" s="3"/>
    </row>
    <row r="7" spans="1:10" ht="18.75" x14ac:dyDescent="0.3">
      <c r="A7" s="3" t="s">
        <v>60</v>
      </c>
      <c r="B7" s="5">
        <v>8925124442</v>
      </c>
      <c r="C7" s="3"/>
      <c r="D7" s="5">
        <v>3500</v>
      </c>
      <c r="E7" s="5" t="s">
        <v>605</v>
      </c>
      <c r="F7" s="80">
        <v>8000</v>
      </c>
      <c r="G7" s="3" t="s">
        <v>177</v>
      </c>
      <c r="H7" s="46" t="s">
        <v>178</v>
      </c>
      <c r="I7" s="21"/>
      <c r="J7" s="21"/>
    </row>
    <row r="8" spans="1:10" ht="18.75" x14ac:dyDescent="0.3">
      <c r="A8" s="3" t="s">
        <v>223</v>
      </c>
      <c r="B8" s="5">
        <v>8148141825</v>
      </c>
      <c r="C8" s="3" t="s">
        <v>106</v>
      </c>
      <c r="D8" s="48">
        <v>3200</v>
      </c>
      <c r="E8" s="58" t="s">
        <v>628</v>
      </c>
      <c r="F8" s="80">
        <v>3200</v>
      </c>
      <c r="G8" s="3" t="s">
        <v>423</v>
      </c>
      <c r="H8" s="46"/>
      <c r="I8" s="110"/>
      <c r="J8" s="21"/>
    </row>
    <row r="9" spans="1:10" ht="18.75" x14ac:dyDescent="0.3">
      <c r="A9" s="3" t="s">
        <v>160</v>
      </c>
      <c r="B9" s="5">
        <v>8825663180</v>
      </c>
      <c r="C9" s="3" t="s">
        <v>161</v>
      </c>
      <c r="D9" s="5">
        <v>1750</v>
      </c>
      <c r="E9" s="5" t="s">
        <v>621</v>
      </c>
      <c r="F9" s="80">
        <v>1750</v>
      </c>
      <c r="G9" s="3" t="s">
        <v>423</v>
      </c>
      <c r="H9" s="46"/>
      <c r="I9" s="21"/>
      <c r="J9" s="21"/>
    </row>
    <row r="10" spans="1:10" ht="18.75" x14ac:dyDescent="0.3">
      <c r="A10" s="3" t="s">
        <v>194</v>
      </c>
      <c r="B10" s="5">
        <v>9941351728</v>
      </c>
      <c r="C10" s="3" t="s">
        <v>195</v>
      </c>
      <c r="D10" s="5">
        <v>3500</v>
      </c>
      <c r="E10" s="5" t="s">
        <v>582</v>
      </c>
      <c r="F10" s="80">
        <v>3500</v>
      </c>
      <c r="G10" s="3" t="s">
        <v>588</v>
      </c>
      <c r="H10" s="46"/>
      <c r="I10" s="21"/>
      <c r="J10" s="21"/>
    </row>
    <row r="11" spans="1:10" ht="18.75" x14ac:dyDescent="0.3">
      <c r="A11" s="3" t="s">
        <v>7</v>
      </c>
      <c r="B11" s="5">
        <v>9840168557</v>
      </c>
      <c r="C11" s="3" t="s">
        <v>208</v>
      </c>
      <c r="D11" s="5">
        <v>4000</v>
      </c>
      <c r="E11" s="5" t="s">
        <v>628</v>
      </c>
      <c r="F11" s="80">
        <v>4000</v>
      </c>
      <c r="G11" s="3" t="s">
        <v>423</v>
      </c>
      <c r="H11" s="21"/>
      <c r="I11" s="21"/>
      <c r="J11" s="21" t="s">
        <v>245</v>
      </c>
    </row>
    <row r="12" spans="1:10" ht="18.75" x14ac:dyDescent="0.3">
      <c r="A12" s="31" t="s">
        <v>241</v>
      </c>
      <c r="B12" s="5">
        <v>8939538396</v>
      </c>
      <c r="C12" s="3" t="s">
        <v>242</v>
      </c>
      <c r="D12" s="5">
        <v>3500</v>
      </c>
      <c r="E12" s="5" t="s">
        <v>621</v>
      </c>
      <c r="F12" s="80">
        <v>7000</v>
      </c>
      <c r="G12" s="3" t="s">
        <v>423</v>
      </c>
      <c r="H12" s="46" t="s">
        <v>683</v>
      </c>
      <c r="I12" s="32"/>
      <c r="J12" s="32"/>
    </row>
    <row r="13" spans="1:10" ht="18.75" x14ac:dyDescent="0.3">
      <c r="A13" s="3" t="s">
        <v>266</v>
      </c>
      <c r="B13" s="5">
        <v>6385458304</v>
      </c>
      <c r="C13" s="3" t="s">
        <v>259</v>
      </c>
      <c r="D13" s="5">
        <v>2200</v>
      </c>
      <c r="E13" s="5" t="s">
        <v>640</v>
      </c>
      <c r="F13" s="80">
        <v>2200</v>
      </c>
      <c r="G13" s="3" t="s">
        <v>423</v>
      </c>
      <c r="H13" s="32" t="s">
        <v>527</v>
      </c>
      <c r="I13" s="32"/>
      <c r="J13" s="21"/>
    </row>
    <row r="14" spans="1:10" ht="18.75" x14ac:dyDescent="0.3">
      <c r="A14" s="31" t="s">
        <v>589</v>
      </c>
      <c r="B14" s="5">
        <v>9080506121</v>
      </c>
      <c r="C14" s="3" t="s">
        <v>270</v>
      </c>
      <c r="D14" s="5">
        <v>2300</v>
      </c>
      <c r="E14" s="5"/>
      <c r="F14" s="80" t="s">
        <v>346</v>
      </c>
      <c r="G14" s="3"/>
      <c r="H14" s="49" t="s">
        <v>590</v>
      </c>
      <c r="I14" s="32"/>
      <c r="J14" s="21"/>
    </row>
    <row r="15" spans="1:10" ht="18.75" x14ac:dyDescent="0.3">
      <c r="A15" s="3" t="s">
        <v>285</v>
      </c>
      <c r="B15" s="5">
        <v>9791050538</v>
      </c>
      <c r="C15" s="3" t="s">
        <v>279</v>
      </c>
      <c r="D15" s="5">
        <v>3400</v>
      </c>
      <c r="E15" s="5" t="s">
        <v>613</v>
      </c>
      <c r="F15" s="80">
        <v>3400</v>
      </c>
      <c r="G15" s="3" t="s">
        <v>47</v>
      </c>
      <c r="H15" s="46"/>
      <c r="I15" s="111"/>
      <c r="J15" s="21"/>
    </row>
    <row r="16" spans="1:10" ht="18.75" x14ac:dyDescent="0.3">
      <c r="A16" s="3" t="s">
        <v>319</v>
      </c>
      <c r="B16" s="5"/>
      <c r="C16" s="3" t="s">
        <v>294</v>
      </c>
      <c r="D16" s="5">
        <v>14700</v>
      </c>
      <c r="E16" s="5"/>
      <c r="F16" s="5" t="s">
        <v>346</v>
      </c>
      <c r="G16" s="3"/>
      <c r="H16" s="46"/>
      <c r="I16" s="28"/>
      <c r="J16" s="21"/>
    </row>
    <row r="17" spans="1:10" ht="18.75" x14ac:dyDescent="0.3">
      <c r="A17" s="3" t="s">
        <v>330</v>
      </c>
      <c r="B17" s="5">
        <v>9884664943</v>
      </c>
      <c r="C17" s="3" t="s">
        <v>329</v>
      </c>
      <c r="D17" s="5">
        <v>2000</v>
      </c>
      <c r="E17" s="5" t="s">
        <v>607</v>
      </c>
      <c r="F17" s="80">
        <v>2000</v>
      </c>
      <c r="G17" s="3" t="s">
        <v>423</v>
      </c>
      <c r="H17" s="46" t="s">
        <v>608</v>
      </c>
      <c r="I17" s="21"/>
      <c r="J17" s="21"/>
    </row>
    <row r="18" spans="1:10" ht="18.75" x14ac:dyDescent="0.3">
      <c r="A18" s="3"/>
      <c r="B18" s="5"/>
      <c r="C18" s="3"/>
      <c r="D18" s="5"/>
      <c r="E18" s="5" t="s">
        <v>628</v>
      </c>
      <c r="F18" s="80">
        <v>5000</v>
      </c>
      <c r="G18" s="3" t="s">
        <v>423</v>
      </c>
      <c r="H18" s="46" t="s">
        <v>630</v>
      </c>
      <c r="I18" s="21"/>
      <c r="J18" s="21"/>
    </row>
    <row r="19" spans="1:10" ht="18.5" x14ac:dyDescent="0.45">
      <c r="A19" s="3" t="s">
        <v>471</v>
      </c>
      <c r="B19" s="5"/>
      <c r="C19" s="3" t="s">
        <v>339</v>
      </c>
      <c r="D19" s="5">
        <v>1800</v>
      </c>
      <c r="E19" s="5"/>
      <c r="F19" s="5"/>
      <c r="G19" s="3"/>
      <c r="H19" s="46"/>
      <c r="I19" s="21"/>
      <c r="J19" s="21"/>
    </row>
    <row r="20" spans="1:10" ht="18.5" x14ac:dyDescent="0.45">
      <c r="A20" s="3" t="s">
        <v>343</v>
      </c>
      <c r="B20" s="5">
        <v>9940440423</v>
      </c>
      <c r="C20" s="3" t="s">
        <v>337</v>
      </c>
      <c r="D20" s="5">
        <v>1800</v>
      </c>
      <c r="E20" s="5" t="s">
        <v>554</v>
      </c>
      <c r="F20" s="80">
        <v>1800</v>
      </c>
      <c r="G20" s="3" t="s">
        <v>51</v>
      </c>
      <c r="H20" s="46"/>
      <c r="I20" s="21"/>
      <c r="J20" s="21"/>
    </row>
    <row r="21" spans="1:10" ht="18.5" x14ac:dyDescent="0.45">
      <c r="A21" s="3" t="s">
        <v>349</v>
      </c>
      <c r="B21" s="5"/>
      <c r="C21" s="3" t="s">
        <v>353</v>
      </c>
      <c r="D21" s="5">
        <v>2300</v>
      </c>
      <c r="E21" s="5"/>
      <c r="F21" s="80"/>
      <c r="G21" s="3"/>
      <c r="H21" s="46"/>
      <c r="I21" s="21"/>
      <c r="J21" s="21"/>
    </row>
    <row r="22" spans="1:10" ht="18.5" x14ac:dyDescent="0.45">
      <c r="A22" s="3" t="s">
        <v>507</v>
      </c>
      <c r="B22" s="5"/>
      <c r="C22" s="3" t="s">
        <v>351</v>
      </c>
      <c r="D22" s="5">
        <v>4250</v>
      </c>
      <c r="E22" s="5" t="s">
        <v>603</v>
      </c>
      <c r="F22" s="80">
        <v>4250</v>
      </c>
      <c r="G22" s="3" t="s">
        <v>47</v>
      </c>
      <c r="H22" s="21"/>
      <c r="J22" s="21"/>
    </row>
    <row r="23" spans="1:10" ht="18.5" x14ac:dyDescent="0.45">
      <c r="A23" s="3" t="s">
        <v>354</v>
      </c>
      <c r="B23" s="5">
        <v>6382501514</v>
      </c>
      <c r="C23" s="3" t="s">
        <v>353</v>
      </c>
      <c r="D23" s="5">
        <v>2000</v>
      </c>
      <c r="E23" s="5" t="s">
        <v>609</v>
      </c>
      <c r="F23" s="80">
        <v>1650</v>
      </c>
      <c r="G23" s="3" t="s">
        <v>423</v>
      </c>
      <c r="H23" s="46"/>
      <c r="I23" s="21"/>
      <c r="J23" s="21"/>
    </row>
    <row r="24" spans="1:10" ht="18.5" x14ac:dyDescent="0.45">
      <c r="A24" s="31" t="s">
        <v>357</v>
      </c>
      <c r="B24" s="5">
        <v>9940199236</v>
      </c>
      <c r="C24" s="3" t="s">
        <v>358</v>
      </c>
      <c r="D24" s="5">
        <v>1500</v>
      </c>
      <c r="E24" s="5"/>
      <c r="F24" s="80" t="s">
        <v>346</v>
      </c>
      <c r="G24" s="3"/>
      <c r="H24" s="46" t="s">
        <v>601</v>
      </c>
      <c r="I24" s="21"/>
      <c r="J24" s="21"/>
    </row>
    <row r="25" spans="1:10" ht="18.5" x14ac:dyDescent="0.45">
      <c r="A25" s="3" t="s">
        <v>362</v>
      </c>
      <c r="B25" s="5">
        <v>9791273244</v>
      </c>
      <c r="C25" s="3" t="s">
        <v>358</v>
      </c>
      <c r="D25" s="5">
        <v>1600</v>
      </c>
      <c r="E25" s="5" t="s">
        <v>583</v>
      </c>
      <c r="F25" s="80">
        <v>1600</v>
      </c>
      <c r="G25" s="3" t="s">
        <v>592</v>
      </c>
      <c r="H25" s="46"/>
      <c r="I25" s="21"/>
      <c r="J25" s="21"/>
    </row>
    <row r="26" spans="1:10" ht="18.5" x14ac:dyDescent="0.45">
      <c r="A26" s="3" t="s">
        <v>369</v>
      </c>
      <c r="B26" s="5">
        <v>9940053942</v>
      </c>
      <c r="C26" s="3" t="s">
        <v>373</v>
      </c>
      <c r="D26" s="5">
        <v>2000</v>
      </c>
      <c r="E26" s="5" t="s">
        <v>613</v>
      </c>
      <c r="F26" s="80">
        <v>2000</v>
      </c>
      <c r="G26" s="3" t="s">
        <v>614</v>
      </c>
      <c r="H26" s="46"/>
      <c r="I26" s="21"/>
      <c r="J26" s="21"/>
    </row>
    <row r="27" spans="1:10" ht="18.5" x14ac:dyDescent="0.45">
      <c r="A27" s="31" t="s">
        <v>415</v>
      </c>
      <c r="B27" s="5">
        <v>9400904091</v>
      </c>
      <c r="C27" s="3" t="s">
        <v>373</v>
      </c>
      <c r="D27" s="5">
        <v>3500</v>
      </c>
      <c r="E27" s="5"/>
      <c r="F27" s="80" t="s">
        <v>346</v>
      </c>
      <c r="G27" s="3"/>
      <c r="H27" s="46"/>
      <c r="I27" s="21"/>
      <c r="J27" s="21"/>
    </row>
    <row r="28" spans="1:10" ht="18.5" x14ac:dyDescent="0.45">
      <c r="A28" s="31" t="s">
        <v>381</v>
      </c>
      <c r="B28" s="5">
        <v>6384064584</v>
      </c>
      <c r="C28" s="3" t="s">
        <v>379</v>
      </c>
      <c r="D28" s="5">
        <v>2000</v>
      </c>
      <c r="E28" s="5"/>
      <c r="F28" s="80" t="s">
        <v>346</v>
      </c>
      <c r="G28" s="3"/>
      <c r="H28" s="46" t="s">
        <v>631</v>
      </c>
      <c r="I28" s="21"/>
      <c r="J28" s="21"/>
    </row>
    <row r="29" spans="1:10" ht="18.5" x14ac:dyDescent="0.45">
      <c r="A29" s="3" t="s">
        <v>386</v>
      </c>
      <c r="B29" s="5">
        <v>8870042240</v>
      </c>
      <c r="C29" s="3" t="s">
        <v>399</v>
      </c>
      <c r="D29" s="5">
        <v>3500</v>
      </c>
      <c r="E29" s="5" t="s">
        <v>583</v>
      </c>
      <c r="F29" s="80">
        <v>3500</v>
      </c>
      <c r="G29" s="3" t="s">
        <v>423</v>
      </c>
      <c r="H29" s="46" t="s">
        <v>586</v>
      </c>
      <c r="I29" s="21"/>
      <c r="J29" s="21"/>
    </row>
    <row r="30" spans="1:10" ht="18.5" x14ac:dyDescent="0.45">
      <c r="A30" s="3" t="s">
        <v>391</v>
      </c>
      <c r="B30" s="5">
        <v>9032291673</v>
      </c>
      <c r="C30" s="3" t="s">
        <v>389</v>
      </c>
      <c r="D30" s="5">
        <v>2000</v>
      </c>
      <c r="E30" s="5" t="s">
        <v>639</v>
      </c>
      <c r="F30" s="80">
        <v>1600</v>
      </c>
      <c r="G30" s="3" t="s">
        <v>47</v>
      </c>
      <c r="H30" s="46"/>
      <c r="I30" s="21"/>
      <c r="J30" s="21"/>
    </row>
    <row r="31" spans="1:10" ht="18.5" x14ac:dyDescent="0.45">
      <c r="A31" s="3" t="s">
        <v>419</v>
      </c>
      <c r="B31" s="5">
        <v>9840753687</v>
      </c>
      <c r="C31" s="3" t="s">
        <v>402</v>
      </c>
      <c r="D31" s="5">
        <v>2500</v>
      </c>
      <c r="E31" s="5"/>
      <c r="F31" s="80"/>
      <c r="G31" s="3"/>
      <c r="H31" s="46"/>
      <c r="I31" s="21"/>
      <c r="J31" s="21"/>
    </row>
    <row r="32" spans="1:10" ht="18.5" x14ac:dyDescent="0.45">
      <c r="A32" s="3" t="s">
        <v>619</v>
      </c>
      <c r="B32" s="5">
        <v>6383721663</v>
      </c>
      <c r="C32" s="3" t="s">
        <v>422</v>
      </c>
      <c r="D32" s="5">
        <v>2000</v>
      </c>
      <c r="E32" s="5" t="s">
        <v>684</v>
      </c>
      <c r="F32" s="80">
        <v>2000</v>
      </c>
      <c r="G32" s="3" t="s">
        <v>423</v>
      </c>
      <c r="H32" s="46"/>
      <c r="I32" s="21"/>
      <c r="J32" s="21"/>
    </row>
    <row r="33" spans="1:10" ht="18.5" x14ac:dyDescent="0.45">
      <c r="A33" s="3" t="s">
        <v>481</v>
      </c>
      <c r="B33" s="5">
        <v>7448958137</v>
      </c>
      <c r="C33" s="3" t="s">
        <v>433</v>
      </c>
      <c r="D33" s="5">
        <v>2500</v>
      </c>
      <c r="E33" s="5" t="s">
        <v>599</v>
      </c>
      <c r="F33" s="80">
        <v>2500</v>
      </c>
      <c r="G33" s="3" t="s">
        <v>47</v>
      </c>
      <c r="H33" s="46"/>
      <c r="I33" s="21"/>
      <c r="J33" s="21"/>
    </row>
    <row r="34" spans="1:10" ht="18.5" x14ac:dyDescent="0.45">
      <c r="A34" s="3" t="s">
        <v>463</v>
      </c>
      <c r="B34" s="5">
        <v>7904409817</v>
      </c>
      <c r="C34" s="3" t="s">
        <v>451</v>
      </c>
      <c r="D34" s="5">
        <v>4500</v>
      </c>
      <c r="E34" s="5" t="s">
        <v>554</v>
      </c>
      <c r="F34" s="80">
        <v>4500</v>
      </c>
      <c r="G34" s="3" t="s">
        <v>423</v>
      </c>
      <c r="H34" s="46" t="s">
        <v>608</v>
      </c>
      <c r="I34" s="21"/>
      <c r="J34" s="21"/>
    </row>
    <row r="35" spans="1:10" ht="18.5" x14ac:dyDescent="0.45">
      <c r="A35" s="3" t="s">
        <v>600</v>
      </c>
      <c r="B35" s="5">
        <v>9962718253</v>
      </c>
      <c r="C35" s="3" t="s">
        <v>474</v>
      </c>
      <c r="D35" s="5">
        <v>2000</v>
      </c>
      <c r="E35" s="5" t="s">
        <v>684</v>
      </c>
      <c r="F35" s="80">
        <v>1000</v>
      </c>
      <c r="G35" s="124" t="s">
        <v>423</v>
      </c>
      <c r="H35" s="116"/>
      <c r="I35" s="21"/>
      <c r="J35" s="21"/>
    </row>
    <row r="36" spans="1:10" ht="18.5" x14ac:dyDescent="0.45">
      <c r="A36" s="3" t="s">
        <v>473</v>
      </c>
      <c r="B36" s="5">
        <v>9566059846</v>
      </c>
      <c r="C36" s="3" t="s">
        <v>474</v>
      </c>
      <c r="D36" s="5">
        <v>1700</v>
      </c>
      <c r="E36" s="5" t="s">
        <v>621</v>
      </c>
      <c r="F36" s="5">
        <v>500</v>
      </c>
      <c r="G36" s="3" t="s">
        <v>423</v>
      </c>
      <c r="H36" s="46"/>
      <c r="I36" s="21"/>
      <c r="J36" s="21"/>
    </row>
    <row r="37" spans="1:10" ht="18.5" x14ac:dyDescent="0.45">
      <c r="A37" s="3"/>
      <c r="B37" s="5"/>
      <c r="C37" s="3"/>
      <c r="D37" s="5"/>
      <c r="E37" s="5" t="s">
        <v>637</v>
      </c>
      <c r="F37" s="5">
        <v>500</v>
      </c>
      <c r="G37" s="3" t="s">
        <v>423</v>
      </c>
      <c r="H37" s="46"/>
      <c r="I37" s="21"/>
      <c r="J37" s="21"/>
    </row>
    <row r="38" spans="1:10" ht="18.5" x14ac:dyDescent="0.45">
      <c r="A38" s="3" t="s">
        <v>501</v>
      </c>
      <c r="B38" s="5">
        <v>9080869326</v>
      </c>
      <c r="C38" s="3" t="s">
        <v>479</v>
      </c>
      <c r="D38" s="5">
        <v>1750</v>
      </c>
      <c r="E38" s="5" t="s">
        <v>599</v>
      </c>
      <c r="F38" s="5">
        <v>1750</v>
      </c>
      <c r="G38" s="3" t="s">
        <v>47</v>
      </c>
      <c r="H38" s="46"/>
      <c r="I38" s="21"/>
      <c r="J38" s="21"/>
    </row>
    <row r="39" spans="1:10" ht="18.5" x14ac:dyDescent="0.45">
      <c r="A39" s="3" t="s">
        <v>498</v>
      </c>
      <c r="B39" s="5">
        <v>9585821453</v>
      </c>
      <c r="C39" s="3" t="s">
        <v>499</v>
      </c>
      <c r="D39" s="5">
        <v>10000</v>
      </c>
      <c r="E39" s="5" t="s">
        <v>579</v>
      </c>
      <c r="F39" s="5">
        <v>10000</v>
      </c>
      <c r="G39" s="3" t="s">
        <v>47</v>
      </c>
      <c r="H39" s="46"/>
      <c r="I39" s="21"/>
      <c r="J39" s="21"/>
    </row>
    <row r="40" spans="1:10" ht="18.5" x14ac:dyDescent="0.45">
      <c r="A40" s="3" t="s">
        <v>504</v>
      </c>
      <c r="B40" s="5">
        <v>9841477377</v>
      </c>
      <c r="C40" s="3" t="s">
        <v>493</v>
      </c>
      <c r="D40" s="5">
        <v>2000</v>
      </c>
      <c r="E40" s="5" t="s">
        <v>613</v>
      </c>
      <c r="F40" s="5">
        <v>2000</v>
      </c>
      <c r="G40" s="3" t="s">
        <v>423</v>
      </c>
      <c r="H40" s="46"/>
      <c r="I40" s="21"/>
      <c r="J40" s="21"/>
    </row>
    <row r="41" spans="1:10" ht="18.5" x14ac:dyDescent="0.45">
      <c r="A41" s="31" t="s">
        <v>544</v>
      </c>
      <c r="B41" s="5">
        <v>9092711511</v>
      </c>
      <c r="C41" s="3" t="s">
        <v>545</v>
      </c>
      <c r="D41" s="5"/>
      <c r="E41" s="5"/>
      <c r="F41" s="41" t="s">
        <v>346</v>
      </c>
      <c r="G41" s="3"/>
      <c r="H41" s="46" t="s">
        <v>591</v>
      </c>
      <c r="I41" s="21"/>
      <c r="J41" s="21"/>
    </row>
    <row r="42" spans="1:10" ht="18.5" x14ac:dyDescent="0.45">
      <c r="A42" s="3" t="s">
        <v>518</v>
      </c>
      <c r="B42" s="5"/>
      <c r="C42" s="3" t="s">
        <v>522</v>
      </c>
      <c r="D42" s="5">
        <v>1700</v>
      </c>
      <c r="E42" s="5" t="s">
        <v>626</v>
      </c>
      <c r="F42" s="5">
        <v>1700</v>
      </c>
      <c r="G42" s="3" t="s">
        <v>47</v>
      </c>
      <c r="H42" s="46"/>
      <c r="I42" s="21"/>
      <c r="J42" s="21"/>
    </row>
    <row r="43" spans="1:10" ht="18.5" x14ac:dyDescent="0.45">
      <c r="A43" s="3" t="s">
        <v>618</v>
      </c>
      <c r="B43" s="5">
        <v>6381874899</v>
      </c>
      <c r="C43" s="3" t="s">
        <v>522</v>
      </c>
      <c r="D43" s="5">
        <v>2000</v>
      </c>
      <c r="E43" s="5"/>
      <c r="F43" s="5"/>
      <c r="G43" s="3"/>
      <c r="H43" s="46"/>
      <c r="I43" s="21"/>
      <c r="J43" s="21"/>
    </row>
    <row r="44" spans="1:10" ht="18.5" x14ac:dyDescent="0.45">
      <c r="A44" s="3" t="s">
        <v>546</v>
      </c>
      <c r="B44" s="5">
        <v>9003517441</v>
      </c>
      <c r="C44" s="3" t="s">
        <v>525</v>
      </c>
      <c r="D44" s="5">
        <v>4000</v>
      </c>
      <c r="E44" s="5"/>
      <c r="F44" s="5"/>
      <c r="G44" s="3"/>
      <c r="H44" s="46"/>
      <c r="I44" s="21"/>
      <c r="J44" s="21"/>
    </row>
    <row r="45" spans="1:10" ht="18.5" x14ac:dyDescent="0.45">
      <c r="A45" s="3" t="s">
        <v>548</v>
      </c>
      <c r="B45" s="5">
        <v>9176551349</v>
      </c>
      <c r="C45" s="3" t="s">
        <v>526</v>
      </c>
      <c r="D45" s="5">
        <v>1750</v>
      </c>
      <c r="E45" s="3"/>
      <c r="F45" s="38" t="s">
        <v>458</v>
      </c>
      <c r="G45" s="3"/>
      <c r="H45" s="46" t="s">
        <v>644</v>
      </c>
      <c r="I45" s="21"/>
      <c r="J45" s="21"/>
    </row>
    <row r="46" spans="1:10" ht="18.5" x14ac:dyDescent="0.45">
      <c r="A46" s="31" t="s">
        <v>616</v>
      </c>
      <c r="B46" s="5">
        <v>805627708</v>
      </c>
      <c r="C46" s="3" t="s">
        <v>540</v>
      </c>
      <c r="D46" s="5">
        <v>700</v>
      </c>
      <c r="E46" s="3"/>
      <c r="F46" s="41" t="s">
        <v>346</v>
      </c>
      <c r="G46" s="3"/>
      <c r="H46" s="46" t="s">
        <v>632</v>
      </c>
      <c r="I46" s="21"/>
      <c r="J46" s="21"/>
    </row>
    <row r="47" spans="1:10" ht="18.5" x14ac:dyDescent="0.45">
      <c r="A47" s="3" t="s">
        <v>542</v>
      </c>
      <c r="B47" s="5">
        <v>8190848756</v>
      </c>
      <c r="C47" s="3" t="s">
        <v>540</v>
      </c>
      <c r="D47" s="5">
        <v>1700</v>
      </c>
      <c r="E47" s="3" t="s">
        <v>607</v>
      </c>
      <c r="F47" s="5">
        <v>1700</v>
      </c>
      <c r="G47" s="3" t="s">
        <v>47</v>
      </c>
      <c r="H47" s="46" t="s">
        <v>630</v>
      </c>
      <c r="I47" s="21"/>
      <c r="J47" s="21"/>
    </row>
    <row r="48" spans="1:10" ht="18.5" x14ac:dyDescent="0.45">
      <c r="A48" s="3" t="s">
        <v>543</v>
      </c>
      <c r="B48" s="5">
        <v>9884690348</v>
      </c>
      <c r="C48" s="3" t="s">
        <v>521</v>
      </c>
      <c r="D48" s="5">
        <v>1150</v>
      </c>
      <c r="E48" s="3"/>
      <c r="F48" s="5">
        <v>1150</v>
      </c>
      <c r="G48" s="3" t="s">
        <v>47</v>
      </c>
      <c r="H48" s="46" t="s">
        <v>617</v>
      </c>
      <c r="I48" s="21"/>
      <c r="J48" s="21"/>
    </row>
    <row r="49" spans="1:10" ht="18.5" x14ac:dyDescent="0.45">
      <c r="A49" s="3" t="s">
        <v>577</v>
      </c>
      <c r="B49" s="5">
        <v>9444391545</v>
      </c>
      <c r="C49" s="3" t="s">
        <v>578</v>
      </c>
      <c r="D49" s="5">
        <v>1400</v>
      </c>
      <c r="E49" s="5" t="s">
        <v>578</v>
      </c>
      <c r="F49" s="5">
        <v>1400</v>
      </c>
      <c r="G49" s="3" t="s">
        <v>9</v>
      </c>
      <c r="H49" s="46"/>
      <c r="I49" s="21"/>
      <c r="J49" s="21"/>
    </row>
    <row r="50" spans="1:10" ht="18.5" x14ac:dyDescent="0.45">
      <c r="A50" s="3" t="s">
        <v>580</v>
      </c>
      <c r="B50" s="5">
        <v>9940023308</v>
      </c>
      <c r="C50" s="3" t="s">
        <v>579</v>
      </c>
      <c r="D50" s="5">
        <v>2000</v>
      </c>
      <c r="E50" s="5" t="s">
        <v>579</v>
      </c>
      <c r="F50" s="80">
        <v>2000</v>
      </c>
      <c r="G50" s="3" t="s">
        <v>423</v>
      </c>
      <c r="H50" s="46"/>
      <c r="I50" s="21"/>
      <c r="J50" s="21"/>
    </row>
    <row r="51" spans="1:10" ht="18.5" x14ac:dyDescent="0.45">
      <c r="A51" s="3" t="s">
        <v>581</v>
      </c>
      <c r="B51" s="5">
        <v>9790812585</v>
      </c>
      <c r="C51" s="3" t="s">
        <v>582</v>
      </c>
      <c r="D51" s="5">
        <v>5200</v>
      </c>
      <c r="E51" s="5" t="s">
        <v>582</v>
      </c>
      <c r="F51" s="5">
        <v>5200</v>
      </c>
      <c r="G51" s="3" t="s">
        <v>423</v>
      </c>
      <c r="H51" s="46"/>
      <c r="I51" s="21"/>
      <c r="J51" s="21"/>
    </row>
    <row r="52" spans="1:10" ht="18.5" x14ac:dyDescent="0.45">
      <c r="A52" s="31" t="s">
        <v>585</v>
      </c>
      <c r="B52" s="5">
        <v>9965826030</v>
      </c>
      <c r="C52" s="3" t="s">
        <v>583</v>
      </c>
      <c r="D52" s="5">
        <v>1200</v>
      </c>
      <c r="E52" s="5" t="s">
        <v>583</v>
      </c>
      <c r="F52" s="5">
        <v>1200</v>
      </c>
      <c r="G52" s="3" t="s">
        <v>2</v>
      </c>
      <c r="H52" s="46" t="s">
        <v>598</v>
      </c>
      <c r="I52" s="21"/>
      <c r="J52" s="21"/>
    </row>
    <row r="53" spans="1:10" ht="18.5" x14ac:dyDescent="0.45">
      <c r="A53" s="31" t="s">
        <v>585</v>
      </c>
      <c r="B53" s="5"/>
      <c r="C53" s="3"/>
      <c r="D53" s="5"/>
      <c r="E53" s="5" t="s">
        <v>599</v>
      </c>
      <c r="F53" s="5">
        <v>800</v>
      </c>
      <c r="G53" s="3" t="s">
        <v>47</v>
      </c>
      <c r="H53" s="46"/>
      <c r="I53" s="21"/>
      <c r="J53" s="21"/>
    </row>
    <row r="54" spans="1:10" ht="18.5" x14ac:dyDescent="0.45">
      <c r="A54" s="3" t="s">
        <v>584</v>
      </c>
      <c r="B54" s="5">
        <v>8778615006</v>
      </c>
      <c r="C54" s="3" t="s">
        <v>583</v>
      </c>
      <c r="D54" s="5">
        <v>2000</v>
      </c>
      <c r="E54" s="5" t="s">
        <v>583</v>
      </c>
      <c r="F54" s="5">
        <v>2000</v>
      </c>
      <c r="G54" s="3" t="s">
        <v>423</v>
      </c>
      <c r="H54" s="46"/>
      <c r="I54" s="21"/>
      <c r="J54" s="21"/>
    </row>
    <row r="55" spans="1:10" ht="18.5" x14ac:dyDescent="0.45">
      <c r="A55" s="3" t="s">
        <v>611</v>
      </c>
      <c r="B55" s="5">
        <v>8754361011</v>
      </c>
      <c r="C55" s="3" t="s">
        <v>610</v>
      </c>
      <c r="D55" s="5">
        <v>2400</v>
      </c>
      <c r="E55" s="5" t="s">
        <v>610</v>
      </c>
      <c r="F55" s="5">
        <v>2400</v>
      </c>
      <c r="G55" s="3" t="s">
        <v>47</v>
      </c>
      <c r="H55" s="46"/>
      <c r="I55" s="21"/>
      <c r="J55" s="21"/>
    </row>
    <row r="56" spans="1:10" ht="18.5" x14ac:dyDescent="0.45">
      <c r="A56" s="39" t="s">
        <v>622</v>
      </c>
      <c r="B56" s="5"/>
      <c r="C56" s="3" t="s">
        <v>623</v>
      </c>
      <c r="D56" s="5">
        <v>22500</v>
      </c>
      <c r="E56" s="5" t="s">
        <v>624</v>
      </c>
      <c r="F56" s="5">
        <v>22500</v>
      </c>
      <c r="G56" s="3" t="s">
        <v>423</v>
      </c>
      <c r="H56" s="46"/>
      <c r="I56" s="21"/>
      <c r="J56" s="21"/>
    </row>
    <row r="57" spans="1:10" ht="18.5" x14ac:dyDescent="0.45">
      <c r="A57" s="3" t="s">
        <v>612</v>
      </c>
      <c r="B57" s="5">
        <v>9710459818</v>
      </c>
      <c r="C57" s="3" t="s">
        <v>606</v>
      </c>
      <c r="D57" s="5">
        <v>1500</v>
      </c>
      <c r="E57" s="5" t="s">
        <v>606</v>
      </c>
      <c r="F57" s="5">
        <v>1500</v>
      </c>
      <c r="G57" s="3" t="s">
        <v>423</v>
      </c>
      <c r="H57" s="46"/>
      <c r="I57" s="21"/>
      <c r="J57" s="21"/>
    </row>
    <row r="58" spans="1:10" ht="18.5" x14ac:dyDescent="0.45">
      <c r="A58" s="3" t="s">
        <v>625</v>
      </c>
      <c r="B58" s="5">
        <v>8610969772</v>
      </c>
      <c r="C58" s="3" t="s">
        <v>627</v>
      </c>
      <c r="D58" s="5">
        <v>2200</v>
      </c>
      <c r="E58" s="5" t="s">
        <v>627</v>
      </c>
      <c r="F58" s="5">
        <v>2200</v>
      </c>
      <c r="G58" s="3" t="s">
        <v>47</v>
      </c>
      <c r="H58" s="46"/>
      <c r="I58" s="21"/>
      <c r="J58" s="21"/>
    </row>
    <row r="59" spans="1:10" ht="18.5" x14ac:dyDescent="0.45">
      <c r="A59" s="3" t="s">
        <v>686</v>
      </c>
      <c r="B59" s="5">
        <v>9342498965</v>
      </c>
      <c r="C59" s="3" t="s">
        <v>626</v>
      </c>
      <c r="D59" s="5">
        <v>8400</v>
      </c>
      <c r="E59" s="5" t="s">
        <v>626</v>
      </c>
      <c r="F59" s="5">
        <v>10000</v>
      </c>
      <c r="G59" s="3" t="s">
        <v>47</v>
      </c>
      <c r="H59" s="46" t="s">
        <v>636</v>
      </c>
      <c r="I59" s="21"/>
      <c r="J59" s="21"/>
    </row>
    <row r="60" spans="1:10" ht="18.5" x14ac:dyDescent="0.45">
      <c r="A60" s="3" t="s">
        <v>633</v>
      </c>
      <c r="B60" s="5">
        <v>9840328079</v>
      </c>
      <c r="C60" s="3" t="s">
        <v>628</v>
      </c>
      <c r="D60" s="5">
        <v>6000</v>
      </c>
      <c r="E60" s="5" t="s">
        <v>628</v>
      </c>
      <c r="F60" s="5">
        <v>6000</v>
      </c>
      <c r="G60" s="3" t="s">
        <v>47</v>
      </c>
      <c r="H60" s="46" t="s">
        <v>635</v>
      </c>
      <c r="I60" s="21"/>
      <c r="J60" s="21"/>
    </row>
    <row r="61" spans="1:10" ht="18.5" x14ac:dyDescent="0.45">
      <c r="A61" s="3" t="s">
        <v>207</v>
      </c>
      <c r="B61" s="5"/>
      <c r="C61" s="3"/>
      <c r="D61" s="5"/>
      <c r="E61" s="3"/>
      <c r="F61" s="5"/>
      <c r="G61" s="3"/>
      <c r="H61" s="46"/>
      <c r="I61" s="21"/>
      <c r="J61" s="21"/>
    </row>
    <row r="62" spans="1:10" ht="18.5" x14ac:dyDescent="0.45">
      <c r="A62" s="3" t="s">
        <v>638</v>
      </c>
      <c r="B62" s="5">
        <v>7397264637</v>
      </c>
      <c r="C62" s="3" t="s">
        <v>637</v>
      </c>
      <c r="D62" s="5">
        <v>1700</v>
      </c>
      <c r="E62" s="5" t="s">
        <v>637</v>
      </c>
      <c r="F62" s="5">
        <v>1700</v>
      </c>
      <c r="G62" s="3" t="s">
        <v>423</v>
      </c>
      <c r="H62" s="46"/>
      <c r="I62" s="21"/>
      <c r="J62" s="21"/>
    </row>
    <row r="63" spans="1:10" ht="18.5" x14ac:dyDescent="0.45">
      <c r="A63" s="3" t="s">
        <v>646</v>
      </c>
      <c r="B63" s="5">
        <v>7200151287</v>
      </c>
      <c r="C63" s="3" t="s">
        <v>647</v>
      </c>
      <c r="D63" s="5">
        <v>2100</v>
      </c>
      <c r="E63" s="3" t="s">
        <v>647</v>
      </c>
      <c r="F63" s="5">
        <v>2100</v>
      </c>
      <c r="G63" s="3" t="s">
        <v>648</v>
      </c>
      <c r="H63" s="46"/>
      <c r="I63" s="21"/>
      <c r="J63" s="21"/>
    </row>
    <row r="64" spans="1:10" ht="18.5" x14ac:dyDescent="0.45">
      <c r="A64" s="3"/>
      <c r="B64" s="5"/>
      <c r="C64" s="3"/>
      <c r="D64" s="5"/>
      <c r="E64" s="3"/>
      <c r="F64" s="5"/>
      <c r="G64" s="3"/>
      <c r="H64" s="46"/>
      <c r="I64" s="21"/>
      <c r="J64" s="21"/>
    </row>
    <row r="65" spans="1:11" ht="18.5" x14ac:dyDescent="0.45">
      <c r="A65" s="3"/>
      <c r="B65" s="5"/>
      <c r="C65" s="3"/>
      <c r="D65" s="5"/>
      <c r="E65" s="3"/>
      <c r="F65" s="5"/>
      <c r="G65" s="3"/>
      <c r="H65" s="46"/>
      <c r="I65" s="21"/>
      <c r="J65" s="21"/>
    </row>
    <row r="66" spans="1:11" ht="18.5" x14ac:dyDescent="0.45">
      <c r="A66" s="3"/>
      <c r="B66" s="5"/>
      <c r="C66" s="3"/>
      <c r="D66" s="5"/>
      <c r="E66" s="3"/>
      <c r="F66" s="5"/>
      <c r="G66" s="3"/>
      <c r="H66" s="46"/>
      <c r="I66" s="21"/>
      <c r="J66" s="21"/>
    </row>
    <row r="67" spans="1:11" ht="18.5" x14ac:dyDescent="0.45">
      <c r="A67" s="3"/>
      <c r="B67" s="5"/>
      <c r="C67" s="3"/>
      <c r="D67" s="5"/>
      <c r="E67" s="3"/>
      <c r="F67" s="5"/>
      <c r="G67" s="3"/>
      <c r="H67" s="46"/>
      <c r="I67" s="21"/>
      <c r="J67" s="21"/>
    </row>
    <row r="68" spans="1:11" ht="18.5" x14ac:dyDescent="0.45">
      <c r="A68" s="3"/>
      <c r="B68" s="5"/>
      <c r="C68" s="3"/>
      <c r="D68" s="5"/>
      <c r="E68" s="3"/>
      <c r="F68" s="5"/>
      <c r="G68" s="3"/>
      <c r="H68" s="46"/>
      <c r="I68" s="21"/>
      <c r="J68" s="21"/>
    </row>
    <row r="69" spans="1:11" ht="18.5" x14ac:dyDescent="0.45">
      <c r="A69" s="3"/>
      <c r="B69" s="5"/>
      <c r="C69" s="3"/>
      <c r="D69" s="5"/>
      <c r="E69" s="3"/>
      <c r="F69" s="5"/>
      <c r="G69" s="3"/>
      <c r="H69" s="46"/>
      <c r="I69" s="21"/>
      <c r="J69" s="21"/>
    </row>
    <row r="70" spans="1:11" ht="18.5" x14ac:dyDescent="0.45">
      <c r="A70" s="3"/>
      <c r="B70" s="5"/>
      <c r="C70" s="3"/>
      <c r="D70" s="5"/>
      <c r="E70" s="3"/>
      <c r="F70" s="5"/>
      <c r="G70" s="3"/>
      <c r="H70" s="46"/>
      <c r="I70" s="21"/>
      <c r="J70" s="21"/>
    </row>
    <row r="71" spans="1:11" ht="18.5" x14ac:dyDescent="0.45">
      <c r="A71" s="3"/>
      <c r="B71" s="5"/>
      <c r="C71" s="3"/>
      <c r="D71" s="5"/>
      <c r="E71" s="3"/>
      <c r="F71" s="5"/>
      <c r="G71" s="3"/>
      <c r="H71" s="46"/>
      <c r="I71" s="21"/>
      <c r="J71" s="21"/>
    </row>
    <row r="72" spans="1:11" ht="18.5" x14ac:dyDescent="0.45">
      <c r="A72" s="3"/>
      <c r="B72" s="5"/>
      <c r="C72" s="3"/>
      <c r="D72" s="5"/>
      <c r="E72" s="3"/>
      <c r="F72" s="80"/>
      <c r="G72" s="3"/>
      <c r="H72" s="46"/>
      <c r="I72" s="21"/>
      <c r="J72" s="21"/>
    </row>
    <row r="73" spans="1:11" ht="18.5" x14ac:dyDescent="0.45">
      <c r="A73" s="21"/>
      <c r="B73" s="21"/>
      <c r="C73" s="21"/>
      <c r="D73" s="21"/>
      <c r="E73" s="21"/>
      <c r="F73" s="22"/>
      <c r="G73" s="21"/>
      <c r="H73" s="21"/>
      <c r="I73" s="21"/>
      <c r="J73" s="21"/>
    </row>
    <row r="74" spans="1:11" ht="18.5" x14ac:dyDescent="0.45">
      <c r="A74" s="21"/>
      <c r="B74" s="21"/>
      <c r="C74" s="21"/>
      <c r="D74" s="21"/>
      <c r="E74" s="21"/>
      <c r="F74" s="22"/>
      <c r="G74" s="21"/>
      <c r="H74" s="21"/>
      <c r="I74" s="21"/>
      <c r="J74" s="21"/>
    </row>
    <row r="75" spans="1:11" ht="18.5" x14ac:dyDescent="0.45">
      <c r="A75" s="21"/>
      <c r="B75" s="21"/>
      <c r="C75" s="21"/>
      <c r="D75" s="21"/>
      <c r="E75" s="21"/>
      <c r="F75" s="22"/>
      <c r="G75" s="21"/>
      <c r="H75" s="21"/>
      <c r="I75" s="21"/>
      <c r="J75" s="21"/>
    </row>
    <row r="76" spans="1:11" ht="18.5" x14ac:dyDescent="0.45">
      <c r="A76" s="21"/>
      <c r="B76" s="21"/>
      <c r="C76" s="112" t="s">
        <v>66</v>
      </c>
      <c r="D76" s="112"/>
      <c r="E76" s="21"/>
      <c r="F76" s="22"/>
      <c r="G76" s="21"/>
      <c r="H76" s="21"/>
      <c r="I76" s="21"/>
      <c r="J76" s="21"/>
    </row>
    <row r="77" spans="1:11" ht="18.5" x14ac:dyDescent="0.45">
      <c r="A77" s="21"/>
      <c r="B77" s="21"/>
      <c r="C77" s="21"/>
      <c r="D77" s="29"/>
      <c r="E77" s="29"/>
      <c r="F77" s="29"/>
      <c r="G77" s="29"/>
      <c r="H77" s="29"/>
      <c r="I77" s="21"/>
      <c r="J77" s="21"/>
    </row>
    <row r="78" spans="1:11" ht="18.5" x14ac:dyDescent="0.45">
      <c r="A78" s="3"/>
      <c r="B78" s="3"/>
      <c r="C78" s="41" t="s">
        <v>88</v>
      </c>
      <c r="D78" s="41" t="s">
        <v>82</v>
      </c>
      <c r="E78" s="41" t="s">
        <v>89</v>
      </c>
      <c r="F78" s="41" t="s">
        <v>468</v>
      </c>
      <c r="G78" s="41" t="s">
        <v>469</v>
      </c>
      <c r="H78" s="41" t="s">
        <v>470</v>
      </c>
      <c r="I78" s="41" t="s">
        <v>84</v>
      </c>
      <c r="J78" s="41" t="s">
        <v>189</v>
      </c>
    </row>
    <row r="79" spans="1:11" ht="18.5" x14ac:dyDescent="0.45">
      <c r="A79" s="3" t="s">
        <v>187</v>
      </c>
      <c r="B79" s="3"/>
      <c r="C79" s="41" t="s">
        <v>607</v>
      </c>
      <c r="D79" s="41">
        <v>125</v>
      </c>
      <c r="E79" s="41">
        <v>25600</v>
      </c>
      <c r="F79" s="41">
        <v>2304</v>
      </c>
      <c r="G79" s="41">
        <v>2304</v>
      </c>
      <c r="H79" s="41"/>
      <c r="I79" s="117">
        <v>30208</v>
      </c>
      <c r="J79" s="59" t="s">
        <v>190</v>
      </c>
      <c r="K79" t="s">
        <v>606</v>
      </c>
    </row>
    <row r="80" spans="1:11" ht="18.5" x14ac:dyDescent="0.45">
      <c r="A80" s="3" t="s">
        <v>289</v>
      </c>
      <c r="B80" s="3"/>
      <c r="C80" s="41" t="s">
        <v>607</v>
      </c>
      <c r="D80" s="41">
        <v>126</v>
      </c>
      <c r="E80" s="41">
        <v>36803</v>
      </c>
      <c r="F80" s="41">
        <v>3312.27</v>
      </c>
      <c r="G80" s="41">
        <v>3312.27</v>
      </c>
      <c r="H80" s="41"/>
      <c r="I80" s="117">
        <v>43427.54</v>
      </c>
      <c r="J80" s="59" t="s">
        <v>192</v>
      </c>
      <c r="K80" t="s">
        <v>594</v>
      </c>
    </row>
    <row r="81" spans="1:11" ht="18.5" x14ac:dyDescent="0.45">
      <c r="A81" s="3" t="s">
        <v>416</v>
      </c>
      <c r="B81" s="3"/>
      <c r="C81" s="41" t="s">
        <v>607</v>
      </c>
      <c r="D81" s="41">
        <v>127</v>
      </c>
      <c r="E81" s="41">
        <v>14500</v>
      </c>
      <c r="F81" s="41">
        <v>1305</v>
      </c>
      <c r="G81" s="41">
        <v>1305</v>
      </c>
      <c r="H81" s="41"/>
      <c r="I81" s="117">
        <v>17110</v>
      </c>
      <c r="J81" s="59" t="s">
        <v>211</v>
      </c>
      <c r="K81" t="s">
        <v>593</v>
      </c>
    </row>
    <row r="82" spans="1:11" ht="18.5" x14ac:dyDescent="0.45">
      <c r="A82" s="3" t="s">
        <v>341</v>
      </c>
      <c r="B82" s="3"/>
      <c r="C82" s="41" t="s">
        <v>607</v>
      </c>
      <c r="D82" s="41">
        <v>128</v>
      </c>
      <c r="E82" s="41">
        <v>6000</v>
      </c>
      <c r="F82" s="41">
        <v>540</v>
      </c>
      <c r="G82" s="41">
        <v>540</v>
      </c>
      <c r="H82" s="41"/>
      <c r="I82" s="117">
        <v>7080</v>
      </c>
      <c r="J82" s="59" t="s">
        <v>191</v>
      </c>
      <c r="K82" t="s">
        <v>647</v>
      </c>
    </row>
    <row r="83" spans="1:11" ht="18.5" x14ac:dyDescent="0.45">
      <c r="A83" s="3" t="s">
        <v>70</v>
      </c>
      <c r="B83" s="3"/>
      <c r="C83" s="41" t="s">
        <v>607</v>
      </c>
      <c r="D83" s="41">
        <v>129</v>
      </c>
      <c r="E83" s="41">
        <v>5600</v>
      </c>
      <c r="F83" s="41">
        <v>504</v>
      </c>
      <c r="G83" s="41">
        <v>504</v>
      </c>
      <c r="H83" s="41"/>
      <c r="I83" s="117">
        <v>6608</v>
      </c>
      <c r="J83" s="59" t="s">
        <v>213</v>
      </c>
      <c r="K83" t="s">
        <v>769</v>
      </c>
    </row>
    <row r="84" spans="1:11" ht="18.5" x14ac:dyDescent="0.45">
      <c r="A84" s="3" t="s">
        <v>409</v>
      </c>
      <c r="B84" s="3"/>
      <c r="C84" s="41" t="s">
        <v>554</v>
      </c>
      <c r="D84" s="41">
        <v>130</v>
      </c>
      <c r="E84" s="41">
        <v>40984</v>
      </c>
      <c r="F84" s="41">
        <v>3688.56</v>
      </c>
      <c r="G84" s="41">
        <v>3688.56</v>
      </c>
      <c r="H84" s="41"/>
      <c r="I84" s="117">
        <v>48361.120000000003</v>
      </c>
      <c r="J84" s="59" t="s">
        <v>233</v>
      </c>
      <c r="K84" t="s">
        <v>605</v>
      </c>
    </row>
    <row r="85" spans="1:11" ht="18.5" x14ac:dyDescent="0.45">
      <c r="A85" s="3" t="s">
        <v>519</v>
      </c>
      <c r="B85" s="3"/>
      <c r="C85" s="41" t="s">
        <v>579</v>
      </c>
      <c r="D85" s="41">
        <v>131</v>
      </c>
      <c r="E85" s="41">
        <v>11500</v>
      </c>
      <c r="F85" s="41">
        <v>1035</v>
      </c>
      <c r="G85" s="41">
        <v>1035</v>
      </c>
      <c r="H85" s="41"/>
      <c r="I85" s="117">
        <v>13570</v>
      </c>
      <c r="J85" s="41" t="s">
        <v>536</v>
      </c>
      <c r="K85" t="s">
        <v>593</v>
      </c>
    </row>
    <row r="86" spans="1:11" ht="18.5" x14ac:dyDescent="0.45">
      <c r="A86" s="3" t="s">
        <v>503</v>
      </c>
      <c r="B86" s="3"/>
      <c r="C86" s="5" t="s">
        <v>579</v>
      </c>
      <c r="D86" s="41">
        <v>132</v>
      </c>
      <c r="E86" s="41">
        <v>14000</v>
      </c>
      <c r="F86" s="41">
        <v>1260</v>
      </c>
      <c r="G86" s="41">
        <v>1260</v>
      </c>
      <c r="H86" s="41"/>
      <c r="I86" s="117">
        <v>16520</v>
      </c>
      <c r="J86" s="41" t="s">
        <v>533</v>
      </c>
      <c r="K86" s="119">
        <v>16284</v>
      </c>
    </row>
    <row r="87" spans="1:11" ht="18.5" x14ac:dyDescent="0.45">
      <c r="A87" s="3" t="s">
        <v>406</v>
      </c>
      <c r="B87" s="3">
        <v>8428000331</v>
      </c>
      <c r="C87" s="5" t="s">
        <v>579</v>
      </c>
      <c r="D87" s="41">
        <v>133</v>
      </c>
      <c r="E87" s="41">
        <v>22400</v>
      </c>
      <c r="F87" s="41">
        <v>2016</v>
      </c>
      <c r="G87" s="41">
        <v>2016</v>
      </c>
      <c r="H87" s="41"/>
      <c r="I87" s="117">
        <v>26432</v>
      </c>
      <c r="J87" s="41" t="s">
        <v>413</v>
      </c>
      <c r="K87" t="s">
        <v>594</v>
      </c>
    </row>
    <row r="88" spans="1:11" ht="18.5" x14ac:dyDescent="0.45">
      <c r="A88" s="3" t="s">
        <v>434</v>
      </c>
      <c r="B88" s="3"/>
      <c r="C88" s="5" t="s">
        <v>579</v>
      </c>
      <c r="D88" s="41">
        <v>134</v>
      </c>
      <c r="E88" s="41">
        <v>16075</v>
      </c>
      <c r="F88" s="41">
        <v>1446.75</v>
      </c>
      <c r="G88" s="41">
        <v>1446.75</v>
      </c>
      <c r="H88" s="41"/>
      <c r="I88" s="117">
        <v>18968.5</v>
      </c>
      <c r="J88" s="59" t="s">
        <v>335</v>
      </c>
      <c r="K88" t="s">
        <v>610</v>
      </c>
    </row>
    <row r="89" spans="1:11" ht="18.5" x14ac:dyDescent="0.45">
      <c r="A89" s="3" t="s">
        <v>291</v>
      </c>
      <c r="B89" s="3"/>
      <c r="C89" s="5" t="s">
        <v>603</v>
      </c>
      <c r="D89" s="41">
        <v>135</v>
      </c>
      <c r="E89" s="41">
        <v>5000</v>
      </c>
      <c r="F89" s="41">
        <v>450</v>
      </c>
      <c r="G89" s="41">
        <v>450</v>
      </c>
      <c r="H89" s="41"/>
      <c r="I89" s="117">
        <v>5900</v>
      </c>
      <c r="J89" s="41" t="s">
        <v>215</v>
      </c>
      <c r="K89" t="s">
        <v>765</v>
      </c>
    </row>
    <row r="90" spans="1:11" ht="18.5" x14ac:dyDescent="0.45">
      <c r="A90" s="3" t="s">
        <v>649</v>
      </c>
      <c r="B90" s="3"/>
      <c r="C90" s="41" t="s">
        <v>599</v>
      </c>
      <c r="D90" s="41">
        <v>136</v>
      </c>
      <c r="E90" s="41">
        <v>9200</v>
      </c>
      <c r="F90" s="41">
        <v>828</v>
      </c>
      <c r="G90" s="41">
        <v>828</v>
      </c>
      <c r="H90" s="41"/>
      <c r="I90" s="117">
        <v>10856</v>
      </c>
      <c r="J90" s="41" t="s">
        <v>231</v>
      </c>
      <c r="K90" t="s">
        <v>714</v>
      </c>
    </row>
    <row r="91" spans="1:11" ht="18.5" x14ac:dyDescent="0.45">
      <c r="A91" s="3" t="s">
        <v>604</v>
      </c>
      <c r="B91" s="3">
        <v>9442130825</v>
      </c>
      <c r="C91" s="41" t="s">
        <v>599</v>
      </c>
      <c r="D91" s="41">
        <v>137</v>
      </c>
      <c r="E91" s="41">
        <v>12750</v>
      </c>
      <c r="F91" s="41">
        <v>1147.5</v>
      </c>
      <c r="G91" s="41">
        <v>1147.5</v>
      </c>
      <c r="H91" s="41"/>
      <c r="I91" s="117">
        <v>15045</v>
      </c>
      <c r="J91" s="41" t="s">
        <v>651</v>
      </c>
    </row>
    <row r="92" spans="1:11" ht="18.5" x14ac:dyDescent="0.45">
      <c r="A92" s="3" t="s">
        <v>650</v>
      </c>
      <c r="B92" s="3"/>
      <c r="C92" s="41" t="s">
        <v>610</v>
      </c>
      <c r="D92" s="41">
        <v>138</v>
      </c>
      <c r="E92" s="41">
        <v>47414</v>
      </c>
      <c r="F92" s="41"/>
      <c r="G92" s="41"/>
      <c r="H92" s="41"/>
      <c r="I92" s="117">
        <v>47414</v>
      </c>
      <c r="J92" s="41" t="s">
        <v>652</v>
      </c>
      <c r="K92" t="s">
        <v>795</v>
      </c>
    </row>
    <row r="93" spans="1:11" ht="18.5" x14ac:dyDescent="0.45">
      <c r="A93" s="3" t="s">
        <v>653</v>
      </c>
      <c r="B93" s="3">
        <v>9489210061</v>
      </c>
      <c r="C93" s="41" t="s">
        <v>613</v>
      </c>
      <c r="D93" s="41">
        <v>139</v>
      </c>
      <c r="E93" s="41">
        <v>3500</v>
      </c>
      <c r="F93" s="41">
        <v>315</v>
      </c>
      <c r="G93" s="41">
        <v>315</v>
      </c>
      <c r="H93" s="41"/>
      <c r="I93" s="117">
        <v>4130</v>
      </c>
      <c r="J93" s="41" t="s">
        <v>654</v>
      </c>
      <c r="K93" t="s">
        <v>613</v>
      </c>
    </row>
    <row r="94" spans="1:11" ht="18.5" x14ac:dyDescent="0.45">
      <c r="A94" s="3" t="s">
        <v>655</v>
      </c>
      <c r="B94" s="3"/>
      <c r="C94" s="41" t="s">
        <v>656</v>
      </c>
      <c r="D94" s="41">
        <v>140</v>
      </c>
      <c r="E94" s="41">
        <v>6915</v>
      </c>
      <c r="F94" s="41">
        <v>622.35</v>
      </c>
      <c r="G94" s="41">
        <v>622.35</v>
      </c>
      <c r="H94" s="41"/>
      <c r="I94" s="117">
        <v>8159.7</v>
      </c>
      <c r="J94" s="41" t="s">
        <v>283</v>
      </c>
      <c r="K94" t="s">
        <v>769</v>
      </c>
    </row>
    <row r="95" spans="1:11" ht="18.5" x14ac:dyDescent="0.45">
      <c r="A95" s="3" t="s">
        <v>645</v>
      </c>
      <c r="B95" s="3"/>
      <c r="C95" s="41" t="s">
        <v>624</v>
      </c>
      <c r="D95" s="41">
        <v>141</v>
      </c>
      <c r="E95" s="41">
        <v>7700</v>
      </c>
      <c r="F95" s="41">
        <v>693</v>
      </c>
      <c r="G95" s="41">
        <v>693</v>
      </c>
      <c r="H95" s="41"/>
      <c r="I95" s="117">
        <v>9086</v>
      </c>
      <c r="J95" s="41" t="s">
        <v>536</v>
      </c>
      <c r="K95" t="s">
        <v>643</v>
      </c>
    </row>
    <row r="96" spans="1:11" ht="18.5" x14ac:dyDescent="0.45">
      <c r="A96" s="3" t="s">
        <v>405</v>
      </c>
      <c r="B96" s="3"/>
      <c r="C96" s="41" t="s">
        <v>639</v>
      </c>
      <c r="D96" s="41">
        <v>142</v>
      </c>
      <c r="E96" s="41">
        <v>1400</v>
      </c>
      <c r="F96" s="41">
        <v>126</v>
      </c>
      <c r="G96" s="41">
        <v>126</v>
      </c>
      <c r="H96" s="41"/>
      <c r="I96" s="117">
        <v>1652</v>
      </c>
      <c r="J96" s="41" t="s">
        <v>333</v>
      </c>
    </row>
    <row r="97" spans="1:11" ht="18.5" x14ac:dyDescent="0.45">
      <c r="A97" s="3" t="s">
        <v>519</v>
      </c>
      <c r="B97" s="3"/>
      <c r="C97" s="5" t="s">
        <v>639</v>
      </c>
      <c r="D97" s="41">
        <v>143</v>
      </c>
      <c r="E97" s="41">
        <v>34155</v>
      </c>
      <c r="F97" s="41">
        <v>3073.95</v>
      </c>
      <c r="G97" s="41">
        <v>3073.95</v>
      </c>
      <c r="H97" s="41"/>
      <c r="I97" s="117">
        <v>40302.9</v>
      </c>
      <c r="J97" s="41" t="s">
        <v>536</v>
      </c>
      <c r="K97" t="s">
        <v>694</v>
      </c>
    </row>
    <row r="98" spans="1:11" ht="18.5" x14ac:dyDescent="0.45">
      <c r="A98" s="3" t="s">
        <v>454</v>
      </c>
      <c r="B98" s="3"/>
      <c r="C98" s="5" t="s">
        <v>639</v>
      </c>
      <c r="D98" s="41">
        <v>144</v>
      </c>
      <c r="E98" s="41">
        <v>2100</v>
      </c>
      <c r="F98" s="41"/>
      <c r="G98" s="41"/>
      <c r="H98" s="41">
        <v>378</v>
      </c>
      <c r="I98" s="117">
        <v>2478</v>
      </c>
      <c r="J98" s="59" t="s">
        <v>334</v>
      </c>
      <c r="K98" t="s">
        <v>707</v>
      </c>
    </row>
    <row r="99" spans="1:11" ht="18.5" x14ac:dyDescent="0.45">
      <c r="A99" s="3" t="s">
        <v>520</v>
      </c>
      <c r="B99" s="3"/>
      <c r="C99" s="5" t="s">
        <v>637</v>
      </c>
      <c r="D99" s="41">
        <v>145</v>
      </c>
      <c r="E99" s="41">
        <v>41746</v>
      </c>
      <c r="F99" s="41">
        <v>3757.14</v>
      </c>
      <c r="G99" s="41">
        <v>3757.14</v>
      </c>
      <c r="H99" s="41"/>
      <c r="I99" s="117">
        <v>49260.28</v>
      </c>
      <c r="J99" s="41" t="s">
        <v>537</v>
      </c>
      <c r="K99" t="s">
        <v>658</v>
      </c>
    </row>
    <row r="100" spans="1:11" ht="18.5" x14ac:dyDescent="0.45">
      <c r="A100" s="3" t="s">
        <v>657</v>
      </c>
      <c r="B100" s="3"/>
      <c r="C100" s="5" t="s">
        <v>658</v>
      </c>
      <c r="D100" s="41">
        <v>146</v>
      </c>
      <c r="E100" s="41">
        <v>1650</v>
      </c>
      <c r="F100" s="41">
        <v>148.5</v>
      </c>
      <c r="G100" s="41">
        <v>148.5</v>
      </c>
      <c r="H100" s="41"/>
      <c r="I100" s="117">
        <v>1947</v>
      </c>
      <c r="J100" s="41" t="s">
        <v>659</v>
      </c>
      <c r="K100" t="s">
        <v>658</v>
      </c>
    </row>
    <row r="101" spans="1:11" ht="18.5" x14ac:dyDescent="0.45">
      <c r="A101" s="3"/>
      <c r="B101" s="3"/>
      <c r="C101" s="5"/>
      <c r="D101" s="41"/>
      <c r="E101" s="41"/>
      <c r="F101" s="41"/>
      <c r="G101" s="41"/>
      <c r="H101" s="41"/>
      <c r="I101" s="117"/>
      <c r="J101" s="41"/>
    </row>
    <row r="102" spans="1:11" ht="18.5" x14ac:dyDescent="0.45">
      <c r="A102" s="3"/>
      <c r="B102" s="3"/>
      <c r="C102" s="41"/>
      <c r="D102" s="41"/>
      <c r="E102" s="87">
        <v>366992</v>
      </c>
      <c r="F102" s="87">
        <v>28573.02</v>
      </c>
      <c r="G102" s="87">
        <v>28573.02</v>
      </c>
      <c r="H102" s="87">
        <v>378</v>
      </c>
      <c r="I102" s="87">
        <v>424516.04</v>
      </c>
      <c r="J102" s="41"/>
    </row>
    <row r="103" spans="1:11" ht="18.5" x14ac:dyDescent="0.45">
      <c r="A103" s="3"/>
      <c r="B103" s="3"/>
      <c r="C103" s="41"/>
      <c r="D103" s="122" t="s">
        <v>678</v>
      </c>
      <c r="E103" s="122" t="s">
        <v>679</v>
      </c>
      <c r="F103" s="41"/>
      <c r="G103" s="41"/>
      <c r="H103" s="41"/>
      <c r="I103" s="41"/>
      <c r="J103" s="41"/>
    </row>
    <row r="104" spans="1:11" ht="18.5" x14ac:dyDescent="0.45">
      <c r="A104" s="3"/>
      <c r="B104" s="3"/>
      <c r="C104" s="41"/>
      <c r="D104" s="41"/>
      <c r="E104" s="41"/>
      <c r="F104" s="41"/>
      <c r="G104" s="41"/>
      <c r="H104" s="41"/>
      <c r="I104" s="41"/>
      <c r="J104" s="41"/>
    </row>
    <row r="105" spans="1:11" ht="18.5" x14ac:dyDescent="0.45">
      <c r="A105" s="3" t="s">
        <v>559</v>
      </c>
      <c r="B105" s="3"/>
      <c r="C105" s="41" t="s">
        <v>554</v>
      </c>
      <c r="D105" s="41">
        <v>2072</v>
      </c>
      <c r="E105" s="41">
        <v>80508.45</v>
      </c>
      <c r="F105" s="41">
        <v>7245.77</v>
      </c>
      <c r="G105" s="41">
        <v>7245.77</v>
      </c>
      <c r="H105" s="41"/>
      <c r="I105" s="41">
        <v>95000</v>
      </c>
      <c r="J105" s="43" t="s">
        <v>681</v>
      </c>
    </row>
    <row r="106" spans="1:11" ht="18.5" x14ac:dyDescent="0.45">
      <c r="A106" s="3" t="s">
        <v>663</v>
      </c>
      <c r="B106" s="3"/>
      <c r="C106" s="41" t="s">
        <v>554</v>
      </c>
      <c r="D106" s="41">
        <v>481</v>
      </c>
      <c r="E106" s="41">
        <v>87292</v>
      </c>
      <c r="F106" s="41">
        <v>7856.28</v>
      </c>
      <c r="G106" s="41">
        <v>7856.28</v>
      </c>
      <c r="H106" s="41"/>
      <c r="I106" s="41">
        <v>103004.56</v>
      </c>
      <c r="J106" s="43" t="s">
        <v>664</v>
      </c>
    </row>
    <row r="107" spans="1:11" ht="18.5" x14ac:dyDescent="0.45">
      <c r="A107" s="3" t="s">
        <v>660</v>
      </c>
      <c r="B107" s="3"/>
      <c r="C107" s="41" t="s">
        <v>661</v>
      </c>
      <c r="D107" s="41" t="s">
        <v>662</v>
      </c>
      <c r="E107" s="41">
        <v>1101.69</v>
      </c>
      <c r="F107" s="41">
        <v>99.15</v>
      </c>
      <c r="G107" s="41">
        <v>99.15</v>
      </c>
      <c r="H107" s="41"/>
      <c r="I107" s="41">
        <v>1300</v>
      </c>
      <c r="J107" s="43" t="s">
        <v>680</v>
      </c>
    </row>
    <row r="108" spans="1:11" ht="18.5" x14ac:dyDescent="0.45">
      <c r="A108" s="3" t="s">
        <v>672</v>
      </c>
      <c r="B108" s="5"/>
      <c r="C108" s="3" t="s">
        <v>610</v>
      </c>
      <c r="D108" s="41" t="s">
        <v>673</v>
      </c>
      <c r="E108" s="41">
        <v>39500</v>
      </c>
      <c r="F108" s="41"/>
      <c r="G108" s="41"/>
      <c r="H108" s="41">
        <v>7110</v>
      </c>
      <c r="I108" s="41">
        <v>46610</v>
      </c>
      <c r="J108" s="43" t="s">
        <v>674</v>
      </c>
    </row>
    <row r="109" spans="1:11" ht="18.5" x14ac:dyDescent="0.45">
      <c r="A109" s="3" t="s">
        <v>665</v>
      </c>
      <c r="B109" s="3"/>
      <c r="C109" s="41" t="s">
        <v>623</v>
      </c>
      <c r="D109" s="41" t="s">
        <v>666</v>
      </c>
      <c r="E109" s="41">
        <v>3600</v>
      </c>
      <c r="F109" s="41">
        <v>324</v>
      </c>
      <c r="G109" s="41">
        <v>324</v>
      </c>
      <c r="H109" s="41"/>
      <c r="I109" s="41">
        <v>4248</v>
      </c>
      <c r="J109" s="43" t="s">
        <v>667</v>
      </c>
    </row>
    <row r="110" spans="1:11" ht="18.5" x14ac:dyDescent="0.45">
      <c r="A110" s="3" t="s">
        <v>668</v>
      </c>
      <c r="B110" s="3"/>
      <c r="C110" s="3" t="s">
        <v>613</v>
      </c>
      <c r="D110" s="41" t="s">
        <v>669</v>
      </c>
      <c r="E110" s="41">
        <v>6500</v>
      </c>
      <c r="F110" s="41">
        <v>585</v>
      </c>
      <c r="G110" s="41">
        <v>585</v>
      </c>
      <c r="H110" s="41"/>
      <c r="I110" s="41">
        <v>7670</v>
      </c>
      <c r="J110" s="43" t="s">
        <v>670</v>
      </c>
    </row>
    <row r="111" spans="1:11" ht="18.5" x14ac:dyDescent="0.45">
      <c r="A111" s="3" t="s">
        <v>660</v>
      </c>
      <c r="B111" s="3"/>
      <c r="C111" s="41" t="s">
        <v>613</v>
      </c>
      <c r="D111" s="41" t="s">
        <v>671</v>
      </c>
      <c r="E111" s="41">
        <v>1016.95</v>
      </c>
      <c r="F111" s="41">
        <v>91.53</v>
      </c>
      <c r="G111" s="41">
        <v>91.53</v>
      </c>
      <c r="H111" s="41"/>
      <c r="I111" s="41">
        <v>1200</v>
      </c>
      <c r="J111" s="43" t="s">
        <v>680</v>
      </c>
    </row>
    <row r="112" spans="1:11" ht="18.5" x14ac:dyDescent="0.45">
      <c r="A112" s="3" t="s">
        <v>660</v>
      </c>
      <c r="B112" s="3"/>
      <c r="C112" s="41" t="s">
        <v>621</v>
      </c>
      <c r="D112" s="41" t="s">
        <v>675</v>
      </c>
      <c r="E112" s="41">
        <v>1355.93</v>
      </c>
      <c r="F112" s="41">
        <v>122.03</v>
      </c>
      <c r="G112" s="41">
        <v>122.03</v>
      </c>
      <c r="H112" s="41"/>
      <c r="I112" s="41">
        <v>1600</v>
      </c>
      <c r="J112" s="43" t="s">
        <v>680</v>
      </c>
    </row>
    <row r="113" spans="1:10" ht="18.5" x14ac:dyDescent="0.45">
      <c r="A113" s="3" t="s">
        <v>663</v>
      </c>
      <c r="B113" s="3"/>
      <c r="C113" s="41" t="s">
        <v>626</v>
      </c>
      <c r="D113" s="41">
        <v>493</v>
      </c>
      <c r="E113" s="41">
        <v>81900</v>
      </c>
      <c r="F113" s="41">
        <v>7371</v>
      </c>
      <c r="G113" s="41">
        <v>7371</v>
      </c>
      <c r="H113" s="41"/>
      <c r="I113" s="41">
        <v>96642</v>
      </c>
      <c r="J113" s="43" t="s">
        <v>664</v>
      </c>
    </row>
    <row r="114" spans="1:10" ht="18.5" x14ac:dyDescent="0.45">
      <c r="A114" s="3" t="s">
        <v>660</v>
      </c>
      <c r="B114" s="3"/>
      <c r="C114" s="41" t="s">
        <v>637</v>
      </c>
      <c r="D114" s="41" t="s">
        <v>676</v>
      </c>
      <c r="E114" s="41">
        <v>2711.86</v>
      </c>
      <c r="F114" s="41">
        <v>244.07</v>
      </c>
      <c r="G114" s="41">
        <v>244.07</v>
      </c>
      <c r="H114" s="41"/>
      <c r="I114" s="41">
        <v>3200</v>
      </c>
      <c r="J114" s="43" t="s">
        <v>680</v>
      </c>
    </row>
    <row r="115" spans="1:10" ht="18.5" x14ac:dyDescent="0.45">
      <c r="A115" s="3" t="s">
        <v>660</v>
      </c>
      <c r="B115" s="3"/>
      <c r="C115" s="41" t="s">
        <v>637</v>
      </c>
      <c r="D115" s="41" t="s">
        <v>677</v>
      </c>
      <c r="E115" s="41">
        <v>296.61</v>
      </c>
      <c r="F115" s="41">
        <v>26.69</v>
      </c>
      <c r="G115" s="41">
        <v>26.69</v>
      </c>
      <c r="H115" s="41"/>
      <c r="I115" s="41">
        <v>350</v>
      </c>
      <c r="J115" s="43" t="s">
        <v>680</v>
      </c>
    </row>
    <row r="116" spans="1:10" ht="18.5" x14ac:dyDescent="0.45">
      <c r="A116" s="3" t="s">
        <v>690</v>
      </c>
      <c r="B116" s="5"/>
      <c r="C116" s="3" t="s">
        <v>647</v>
      </c>
      <c r="D116" s="41" t="s">
        <v>691</v>
      </c>
      <c r="E116" s="41">
        <v>22631.360000000001</v>
      </c>
      <c r="F116" s="41"/>
      <c r="G116" s="41"/>
      <c r="H116" s="41">
        <v>4073.64</v>
      </c>
      <c r="I116" s="42">
        <v>26705</v>
      </c>
      <c r="J116" s="59" t="s">
        <v>692</v>
      </c>
    </row>
    <row r="117" spans="1:10" ht="18.5" x14ac:dyDescent="0.45">
      <c r="A117" s="69"/>
      <c r="B117" s="92"/>
      <c r="C117" s="104"/>
      <c r="D117" s="68"/>
      <c r="E117" s="123">
        <v>328414.84999999998</v>
      </c>
      <c r="F117" s="123">
        <v>23965.52</v>
      </c>
      <c r="G117" s="123">
        <v>23965.52</v>
      </c>
      <c r="H117" s="123">
        <v>11183.64</v>
      </c>
      <c r="I117" s="123">
        <v>387529.56</v>
      </c>
      <c r="J117" s="68"/>
    </row>
    <row r="118" spans="1:10" x14ac:dyDescent="0.35">
      <c r="A118" s="69"/>
      <c r="B118" s="92"/>
      <c r="C118" s="104"/>
      <c r="D118" s="68"/>
      <c r="E118" s="68"/>
      <c r="F118" s="68"/>
      <c r="G118" s="68"/>
      <c r="H118" s="68"/>
      <c r="I118" s="68"/>
      <c r="J118" s="68"/>
    </row>
    <row r="119" spans="1:10" x14ac:dyDescent="0.35">
      <c r="A119" s="69"/>
      <c r="B119" s="92"/>
      <c r="C119" s="104"/>
      <c r="D119" s="68"/>
      <c r="E119" s="68"/>
      <c r="F119" s="68"/>
      <c r="G119" s="68"/>
      <c r="H119" s="68"/>
      <c r="I119" s="68"/>
      <c r="J119" s="68"/>
    </row>
    <row r="120" spans="1:10" x14ac:dyDescent="0.35">
      <c r="A120" s="69"/>
      <c r="B120" s="92"/>
      <c r="C120" s="104"/>
      <c r="D120" s="68"/>
      <c r="E120" s="68"/>
      <c r="F120" s="68"/>
      <c r="G120" s="68"/>
      <c r="H120" s="68"/>
      <c r="I120" s="68"/>
      <c r="J120" s="68"/>
    </row>
    <row r="121" spans="1:10" x14ac:dyDescent="0.35">
      <c r="A121" s="69"/>
      <c r="B121" s="92"/>
      <c r="C121" s="92"/>
      <c r="D121" s="68"/>
      <c r="E121" s="68"/>
      <c r="F121" s="68"/>
      <c r="G121" s="68"/>
      <c r="H121" s="68"/>
      <c r="I121" s="68"/>
      <c r="J121" s="68"/>
    </row>
    <row r="122" spans="1:10" x14ac:dyDescent="0.35">
      <c r="A122" s="69"/>
      <c r="B122" s="69"/>
      <c r="C122" s="69"/>
      <c r="D122" s="68"/>
      <c r="E122" s="68"/>
      <c r="F122" s="68"/>
      <c r="G122" s="68"/>
      <c r="H122" s="68"/>
      <c r="I122" s="68"/>
      <c r="J122" s="101"/>
    </row>
    <row r="123" spans="1:10" ht="18.5" x14ac:dyDescent="0.45">
      <c r="A123" s="3"/>
      <c r="B123" s="3"/>
      <c r="C123" s="41"/>
      <c r="D123" s="41"/>
      <c r="E123" s="41"/>
      <c r="F123" s="41"/>
      <c r="G123" s="41"/>
      <c r="H123" s="41"/>
      <c r="I123" s="41"/>
      <c r="J123" s="41"/>
    </row>
    <row r="124" spans="1:10" ht="18.5" x14ac:dyDescent="0.45">
      <c r="A124" s="31" t="s">
        <v>417</v>
      </c>
      <c r="B124" s="3"/>
      <c r="C124" s="41" t="s">
        <v>488</v>
      </c>
      <c r="D124" s="41">
        <v>112</v>
      </c>
      <c r="E124" s="41">
        <v>5000</v>
      </c>
      <c r="F124" s="41">
        <v>450</v>
      </c>
      <c r="G124" s="41">
        <v>450</v>
      </c>
      <c r="H124" s="41"/>
      <c r="I124" s="117">
        <v>5900</v>
      </c>
      <c r="J124" s="59" t="s">
        <v>235</v>
      </c>
    </row>
    <row r="125" spans="1:10" ht="18.5" x14ac:dyDescent="0.45">
      <c r="A125" s="39" t="s">
        <v>595</v>
      </c>
      <c r="B125" s="3"/>
      <c r="C125" s="41" t="s">
        <v>528</v>
      </c>
      <c r="D125" s="41">
        <v>124</v>
      </c>
      <c r="E125" s="41">
        <v>2000</v>
      </c>
      <c r="F125" s="41">
        <v>180</v>
      </c>
      <c r="G125" s="41">
        <v>180</v>
      </c>
      <c r="H125" s="41"/>
      <c r="I125" s="117">
        <v>2360</v>
      </c>
      <c r="J125" s="41" t="s">
        <v>467</v>
      </c>
    </row>
    <row r="126" spans="1:10" ht="18.5" x14ac:dyDescent="0.45">
      <c r="A126" s="3"/>
      <c r="B126" s="3"/>
      <c r="C126" s="5"/>
      <c r="D126" s="41"/>
      <c r="E126" s="41"/>
      <c r="F126" s="41"/>
      <c r="G126" s="41"/>
      <c r="H126" s="41"/>
      <c r="I126" s="117"/>
      <c r="J126" s="41"/>
    </row>
    <row r="127" spans="1:10" ht="18.5" x14ac:dyDescent="0.45">
      <c r="A127" s="3"/>
      <c r="B127" s="3"/>
      <c r="C127" s="41"/>
      <c r="D127" s="41"/>
      <c r="E127" s="41"/>
      <c r="F127" s="41"/>
      <c r="G127" s="41"/>
      <c r="H127" s="41"/>
      <c r="I127" s="117"/>
      <c r="J127" s="41"/>
    </row>
    <row r="128" spans="1:10" ht="18.5" x14ac:dyDescent="0.45">
      <c r="A128" s="3"/>
      <c r="B128" s="3"/>
      <c r="C128" s="41"/>
      <c r="D128" s="41"/>
      <c r="E128" s="87"/>
      <c r="F128" s="87"/>
      <c r="G128" s="87"/>
      <c r="H128" s="87"/>
      <c r="I128" s="87"/>
      <c r="J128" s="41"/>
    </row>
    <row r="129" spans="1:10" ht="18.5" x14ac:dyDescent="0.45">
      <c r="A129" s="3"/>
      <c r="B129" s="3"/>
      <c r="C129" s="41"/>
      <c r="D129" s="41"/>
      <c r="E129" s="41"/>
      <c r="F129" s="41"/>
      <c r="G129" s="41"/>
      <c r="H129" s="41"/>
      <c r="I129" s="41"/>
      <c r="J129" s="41"/>
    </row>
    <row r="130" spans="1:10" ht="18.5" x14ac:dyDescent="0.45">
      <c r="A130" s="3"/>
      <c r="B130" s="3"/>
      <c r="C130" s="41"/>
      <c r="D130" s="41"/>
      <c r="E130" s="41"/>
      <c r="F130" s="41"/>
      <c r="G130" s="41"/>
      <c r="H130" s="41"/>
      <c r="I130" s="41"/>
      <c r="J130" s="41"/>
    </row>
    <row r="131" spans="1:10" ht="18.5" x14ac:dyDescent="0.45">
      <c r="A131" s="3"/>
      <c r="B131" s="3"/>
      <c r="C131" s="41"/>
      <c r="D131" s="41"/>
      <c r="E131" s="41"/>
      <c r="F131" s="41"/>
      <c r="G131" s="41"/>
      <c r="H131" s="41"/>
      <c r="I131" s="41"/>
      <c r="J131" s="41"/>
    </row>
    <row r="132" spans="1:10" ht="18.5" x14ac:dyDescent="0.45">
      <c r="A132" s="3"/>
      <c r="B132" s="3"/>
      <c r="C132" s="41"/>
      <c r="D132" s="41"/>
      <c r="E132" s="41"/>
      <c r="F132" s="41"/>
      <c r="G132" s="41"/>
      <c r="H132" s="41"/>
      <c r="I132" s="41"/>
      <c r="J132" s="41"/>
    </row>
    <row r="133" spans="1:10" ht="18.5" x14ac:dyDescent="0.45">
      <c r="A133" s="3"/>
      <c r="B133" s="3"/>
      <c r="C133" s="41"/>
      <c r="D133" s="41"/>
      <c r="E133" s="41"/>
      <c r="F133" s="41"/>
      <c r="G133" s="41"/>
      <c r="H133" s="41"/>
      <c r="I133" s="41"/>
      <c r="J133" s="41"/>
    </row>
    <row r="134" spans="1:10" ht="18.5" x14ac:dyDescent="0.45">
      <c r="A134" s="3"/>
      <c r="B134" s="3"/>
      <c r="C134" s="41"/>
      <c r="D134" s="41"/>
      <c r="E134" s="41"/>
      <c r="F134" s="41"/>
      <c r="G134" s="41"/>
      <c r="H134" s="41"/>
      <c r="I134" s="41"/>
      <c r="J134" s="41"/>
    </row>
    <row r="135" spans="1:10" ht="18.5" x14ac:dyDescent="0.45">
      <c r="A135" s="3"/>
      <c r="B135" s="3"/>
      <c r="C135" s="3"/>
      <c r="D135" s="41"/>
      <c r="E135" s="41"/>
      <c r="F135" s="41"/>
      <c r="G135" s="41"/>
      <c r="H135" s="41"/>
      <c r="I135" s="41"/>
      <c r="J135" s="59"/>
    </row>
    <row r="136" spans="1:10" ht="18.5" x14ac:dyDescent="0.45">
      <c r="A136" s="3"/>
      <c r="B136" s="3"/>
      <c r="C136" s="3"/>
      <c r="D136" s="41"/>
      <c r="E136" s="41"/>
      <c r="F136" s="41"/>
      <c r="G136" s="41"/>
      <c r="H136" s="41"/>
      <c r="I136" s="41"/>
      <c r="J136" s="59"/>
    </row>
    <row r="137" spans="1:10" ht="18.5" x14ac:dyDescent="0.45">
      <c r="A137" s="3"/>
      <c r="B137" s="5"/>
      <c r="C137" s="3"/>
      <c r="D137" s="41"/>
      <c r="E137" s="41"/>
      <c r="F137" s="41"/>
      <c r="G137" s="41"/>
      <c r="H137" s="41"/>
      <c r="I137" s="41"/>
      <c r="J137" s="59"/>
    </row>
    <row r="138" spans="1:10" ht="18.5" x14ac:dyDescent="0.45">
      <c r="A138" s="3"/>
      <c r="B138" s="5"/>
      <c r="C138" s="3"/>
      <c r="D138" s="41"/>
      <c r="E138" s="41"/>
      <c r="F138" s="41"/>
      <c r="G138" s="41"/>
      <c r="H138" s="41"/>
      <c r="I138" s="41"/>
      <c r="J138" s="59"/>
    </row>
    <row r="139" spans="1:10" ht="18.5" x14ac:dyDescent="0.45">
      <c r="A139" s="3"/>
      <c r="B139" s="5"/>
      <c r="C139" s="3"/>
      <c r="D139" s="41"/>
      <c r="E139" s="41"/>
      <c r="F139" s="41"/>
      <c r="G139" s="41"/>
      <c r="H139" s="41"/>
      <c r="I139" s="41"/>
      <c r="J139" s="59"/>
    </row>
    <row r="140" spans="1:10" ht="18.5" x14ac:dyDescent="0.45">
      <c r="A140" s="3"/>
      <c r="B140" s="5"/>
      <c r="C140" s="3"/>
      <c r="D140" s="41"/>
      <c r="E140" s="41"/>
      <c r="F140" s="41"/>
      <c r="G140" s="41"/>
      <c r="H140" s="41"/>
      <c r="I140" s="41"/>
      <c r="J140" s="59"/>
    </row>
    <row r="141" spans="1:10" ht="18.5" x14ac:dyDescent="0.45">
      <c r="A141" s="3"/>
      <c r="B141" s="5"/>
      <c r="C141" s="3"/>
      <c r="D141" s="41"/>
      <c r="E141" s="41"/>
      <c r="F141" s="41"/>
      <c r="G141" s="41"/>
      <c r="H141" s="41"/>
      <c r="I141" s="41"/>
      <c r="J141" s="59"/>
    </row>
    <row r="142" spans="1:10" ht="18.5" x14ac:dyDescent="0.45">
      <c r="A142" s="3"/>
      <c r="B142" s="5"/>
      <c r="C142" s="3"/>
      <c r="D142" s="41"/>
      <c r="E142" s="41"/>
      <c r="F142" s="41"/>
      <c r="G142" s="41"/>
      <c r="H142" s="41"/>
      <c r="I142" s="41"/>
      <c r="J142" s="59"/>
    </row>
    <row r="143" spans="1:10" x14ac:dyDescent="0.35">
      <c r="A143" s="69"/>
      <c r="B143" s="92"/>
      <c r="C143" s="104"/>
      <c r="D143" s="68"/>
      <c r="E143" s="68"/>
      <c r="F143" s="68"/>
      <c r="G143" s="68"/>
      <c r="H143" s="68"/>
      <c r="I143" s="68"/>
      <c r="J143" s="68"/>
    </row>
    <row r="144" spans="1:10" x14ac:dyDescent="0.35">
      <c r="A144" s="69"/>
      <c r="B144" s="92"/>
      <c r="C144" s="92"/>
      <c r="D144" s="68"/>
      <c r="E144" s="68"/>
      <c r="F144" s="68"/>
      <c r="G144" s="68"/>
      <c r="H144" s="68"/>
      <c r="I144" s="68"/>
      <c r="J144" s="68"/>
    </row>
    <row r="145" spans="1:10" x14ac:dyDescent="0.35">
      <c r="A145" s="69"/>
      <c r="B145" s="69"/>
      <c r="C145" s="69"/>
      <c r="D145" s="68"/>
      <c r="E145" s="68"/>
      <c r="F145" s="68"/>
      <c r="G145" s="68"/>
      <c r="H145" s="68"/>
      <c r="I145" s="68"/>
      <c r="J145" s="101"/>
    </row>
    <row r="146" spans="1:10" x14ac:dyDescent="0.35">
      <c r="A146" s="69"/>
      <c r="B146" s="69"/>
      <c r="C146" s="69"/>
      <c r="D146" s="68"/>
      <c r="E146" s="68"/>
      <c r="F146" s="68"/>
      <c r="G146" s="68"/>
      <c r="H146" s="68"/>
      <c r="I146" s="68"/>
      <c r="J146" s="101"/>
    </row>
    <row r="147" spans="1:10" x14ac:dyDescent="0.35">
      <c r="A147" s="69"/>
      <c r="B147" s="69"/>
      <c r="C147" s="69"/>
      <c r="D147" s="68"/>
      <c r="E147" s="68"/>
      <c r="F147" s="68"/>
      <c r="G147" s="68"/>
      <c r="H147" s="68"/>
      <c r="I147" s="68"/>
      <c r="J147" s="101"/>
    </row>
    <row r="148" spans="1:10" x14ac:dyDescent="0.35">
      <c r="A148" s="69"/>
      <c r="B148" s="69"/>
      <c r="C148" s="69"/>
      <c r="D148" s="68"/>
      <c r="E148" s="68"/>
      <c r="F148" s="68"/>
      <c r="G148" s="68"/>
      <c r="H148" s="68"/>
      <c r="I148" s="68"/>
      <c r="J148" s="101"/>
    </row>
    <row r="149" spans="1:10" x14ac:dyDescent="0.35">
      <c r="A149" s="69"/>
      <c r="B149" s="69"/>
      <c r="C149" s="69"/>
      <c r="D149" s="68"/>
      <c r="E149" s="68"/>
      <c r="F149" s="68"/>
      <c r="G149" s="68"/>
      <c r="H149" s="68"/>
      <c r="I149" s="68"/>
      <c r="J149" s="101"/>
    </row>
    <row r="150" spans="1:10" x14ac:dyDescent="0.35">
      <c r="A150" s="69"/>
      <c r="B150" s="69"/>
      <c r="C150" s="69"/>
      <c r="D150" s="68"/>
      <c r="E150" s="68"/>
      <c r="F150" s="68"/>
      <c r="G150" s="68"/>
      <c r="H150" s="68"/>
      <c r="I150" s="68"/>
      <c r="J150" s="101"/>
    </row>
    <row r="151" spans="1:10" x14ac:dyDescent="0.35">
      <c r="A151" s="69"/>
      <c r="B151" s="69"/>
      <c r="C151" s="69"/>
      <c r="D151" s="68"/>
      <c r="E151" s="68"/>
      <c r="F151" s="68"/>
      <c r="G151" s="68"/>
      <c r="H151" s="68"/>
      <c r="I151" s="68"/>
      <c r="J151" s="101"/>
    </row>
    <row r="152" spans="1:10" x14ac:dyDescent="0.35">
      <c r="A152" s="69"/>
      <c r="B152" s="69"/>
      <c r="C152" s="69"/>
      <c r="D152" s="68"/>
      <c r="E152" s="68"/>
      <c r="F152" s="68"/>
      <c r="G152" s="68"/>
      <c r="H152" s="68"/>
      <c r="I152" s="68"/>
      <c r="J152" s="101"/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workbookViewId="0">
      <selection activeCell="D29" sqref="D29"/>
    </sheetView>
  </sheetViews>
  <sheetFormatPr defaultRowHeight="14.5" x14ac:dyDescent="0.35"/>
  <cols>
    <col min="1" max="1" width="54.26953125" customWidth="1"/>
    <col min="2" max="2" width="15.7265625" bestFit="1" customWidth="1"/>
    <col min="3" max="3" width="10.81640625" customWidth="1"/>
    <col min="4" max="4" width="8.453125" customWidth="1"/>
    <col min="5" max="5" width="12.26953125" customWidth="1"/>
    <col min="6" max="6" width="12.81640625" customWidth="1"/>
    <col min="7" max="7" width="15.26953125" customWidth="1"/>
    <col min="8" max="8" width="8.453125" customWidth="1"/>
    <col min="9" max="9" width="12.453125" customWidth="1"/>
    <col min="10" max="10" width="26" bestFit="1" customWidth="1"/>
    <col min="11" max="11" width="17.453125" bestFit="1" customWidth="1"/>
  </cols>
  <sheetData>
    <row r="1" spans="1:10" ht="15" x14ac:dyDescent="0.25">
      <c r="A1" t="s">
        <v>896</v>
      </c>
    </row>
    <row r="2" spans="1:10" ht="18.75" x14ac:dyDescent="0.3">
      <c r="A2" s="3" t="s">
        <v>0</v>
      </c>
      <c r="B2" s="5">
        <v>7299917887</v>
      </c>
      <c r="C2" s="3"/>
      <c r="D2" s="5">
        <v>18300</v>
      </c>
      <c r="E2" s="5"/>
      <c r="F2" s="79"/>
      <c r="G2" s="3"/>
      <c r="H2" s="46"/>
      <c r="I2" s="21"/>
      <c r="J2" s="21"/>
    </row>
    <row r="3" spans="1:10" ht="18.75" x14ac:dyDescent="0.3">
      <c r="A3" s="3" t="s">
        <v>36</v>
      </c>
      <c r="B3" s="3">
        <v>7904401435</v>
      </c>
      <c r="C3" s="3" t="s">
        <v>23</v>
      </c>
      <c r="D3" s="5">
        <v>1750</v>
      </c>
      <c r="E3" s="5" t="s">
        <v>697</v>
      </c>
      <c r="F3" s="80">
        <v>3000</v>
      </c>
      <c r="G3" s="3" t="s">
        <v>423</v>
      </c>
      <c r="H3" s="127" t="s">
        <v>704</v>
      </c>
      <c r="I3" s="23"/>
      <c r="J3" s="21" t="s">
        <v>731</v>
      </c>
    </row>
    <row r="4" spans="1:10" ht="18.75" x14ac:dyDescent="0.3">
      <c r="A4" s="8" t="s">
        <v>248</v>
      </c>
      <c r="B4" s="5">
        <v>7550283099</v>
      </c>
      <c r="C4" s="3" t="s">
        <v>44</v>
      </c>
      <c r="D4" s="58">
        <v>6850</v>
      </c>
      <c r="E4" s="5" t="s">
        <v>734</v>
      </c>
      <c r="F4" s="80">
        <v>6850</v>
      </c>
      <c r="G4" s="3" t="s">
        <v>2</v>
      </c>
      <c r="H4" s="46" t="s">
        <v>630</v>
      </c>
      <c r="I4" s="21"/>
      <c r="J4" s="21"/>
    </row>
    <row r="5" spans="1:10" ht="18.75" x14ac:dyDescent="0.3">
      <c r="A5" s="8" t="s">
        <v>629</v>
      </c>
      <c r="B5" s="5"/>
      <c r="C5" s="3" t="s">
        <v>5</v>
      </c>
      <c r="D5" s="58">
        <v>3000</v>
      </c>
      <c r="E5" s="5" t="s">
        <v>694</v>
      </c>
      <c r="F5" s="80">
        <v>3000</v>
      </c>
      <c r="G5" s="3" t="s">
        <v>47</v>
      </c>
      <c r="H5" s="46"/>
      <c r="I5" s="21"/>
      <c r="J5" s="21"/>
    </row>
    <row r="6" spans="1:10" ht="18.75" x14ac:dyDescent="0.3">
      <c r="A6" s="8" t="s">
        <v>45</v>
      </c>
      <c r="B6" s="5">
        <v>7904622354</v>
      </c>
      <c r="C6" s="3" t="s">
        <v>46</v>
      </c>
      <c r="D6" s="5">
        <v>3200</v>
      </c>
      <c r="E6" s="58" t="s">
        <v>849</v>
      </c>
      <c r="F6" s="5">
        <v>6400</v>
      </c>
      <c r="G6" s="3"/>
      <c r="H6" s="46"/>
      <c r="I6" s="21"/>
      <c r="J6" s="3"/>
    </row>
    <row r="7" spans="1:10" ht="18.75" x14ac:dyDescent="0.3">
      <c r="A7" s="3" t="s">
        <v>60</v>
      </c>
      <c r="B7" s="5">
        <v>8925124442</v>
      </c>
      <c r="C7" s="3">
        <v>9000</v>
      </c>
      <c r="D7" s="5">
        <v>1500</v>
      </c>
      <c r="E7" s="5"/>
      <c r="F7" s="80"/>
      <c r="G7" s="3"/>
      <c r="H7" s="46"/>
      <c r="I7" s="21"/>
      <c r="J7" s="21"/>
    </row>
    <row r="8" spans="1:10" ht="18.75" x14ac:dyDescent="0.3">
      <c r="A8" s="3" t="s">
        <v>223</v>
      </c>
      <c r="B8" s="5">
        <v>8148141825</v>
      </c>
      <c r="C8" s="3" t="s">
        <v>106</v>
      </c>
      <c r="D8" s="48">
        <v>3200</v>
      </c>
      <c r="E8" s="58" t="s">
        <v>741</v>
      </c>
      <c r="F8" s="80">
        <v>3200</v>
      </c>
      <c r="G8" s="3" t="s">
        <v>423</v>
      </c>
      <c r="H8" s="46"/>
      <c r="I8" s="110"/>
      <c r="J8" s="21"/>
    </row>
    <row r="9" spans="1:10" ht="18.75" x14ac:dyDescent="0.3">
      <c r="A9" s="3" t="s">
        <v>160</v>
      </c>
      <c r="B9" s="5">
        <v>8825663180</v>
      </c>
      <c r="C9" s="3" t="s">
        <v>161</v>
      </c>
      <c r="D9" s="5">
        <v>1750</v>
      </c>
      <c r="E9" s="5" t="s">
        <v>724</v>
      </c>
      <c r="F9" s="80">
        <v>1750</v>
      </c>
      <c r="G9" s="3" t="s">
        <v>423</v>
      </c>
      <c r="H9" s="46"/>
      <c r="I9" s="21"/>
      <c r="J9" s="21"/>
    </row>
    <row r="10" spans="1:10" ht="18.75" x14ac:dyDescent="0.3">
      <c r="A10" s="3" t="s">
        <v>194</v>
      </c>
      <c r="B10" s="5">
        <v>9941351728</v>
      </c>
      <c r="C10" s="3" t="s">
        <v>195</v>
      </c>
      <c r="D10" s="5">
        <v>3000</v>
      </c>
      <c r="E10" s="5" t="s">
        <v>694</v>
      </c>
      <c r="F10" s="80">
        <v>3000</v>
      </c>
      <c r="G10" s="3" t="s">
        <v>588</v>
      </c>
      <c r="H10" s="46"/>
      <c r="I10" s="21"/>
      <c r="J10" s="21"/>
    </row>
    <row r="11" spans="1:10" ht="18.75" x14ac:dyDescent="0.3">
      <c r="A11" s="3" t="s">
        <v>7</v>
      </c>
      <c r="B11" s="5">
        <v>9840168557</v>
      </c>
      <c r="C11" s="3" t="s">
        <v>208</v>
      </c>
      <c r="D11" s="5">
        <v>4000</v>
      </c>
      <c r="E11" s="5" t="s">
        <v>748</v>
      </c>
      <c r="F11" s="80">
        <v>4000</v>
      </c>
      <c r="G11" s="3" t="s">
        <v>177</v>
      </c>
      <c r="H11" s="21" t="s">
        <v>178</v>
      </c>
      <c r="I11" s="21"/>
      <c r="J11" s="21" t="s">
        <v>245</v>
      </c>
    </row>
    <row r="12" spans="1:10" ht="18.75" x14ac:dyDescent="0.3">
      <c r="A12" s="3" t="s">
        <v>266</v>
      </c>
      <c r="B12" s="5">
        <v>6385458304</v>
      </c>
      <c r="C12" s="3" t="s">
        <v>259</v>
      </c>
      <c r="D12" s="5">
        <v>2200</v>
      </c>
      <c r="E12" s="5" t="s">
        <v>741</v>
      </c>
      <c r="F12" s="80">
        <v>2200</v>
      </c>
      <c r="G12" s="3" t="s">
        <v>423</v>
      </c>
      <c r="H12" s="32"/>
      <c r="I12" s="32"/>
      <c r="J12" s="21"/>
    </row>
    <row r="13" spans="1:10" ht="18.75" x14ac:dyDescent="0.3">
      <c r="A13" s="3" t="s">
        <v>285</v>
      </c>
      <c r="B13" s="5">
        <v>9791050538</v>
      </c>
      <c r="C13" s="3" t="s">
        <v>279</v>
      </c>
      <c r="D13" s="5">
        <v>3400</v>
      </c>
      <c r="E13" s="5" t="s">
        <v>721</v>
      </c>
      <c r="F13" s="80">
        <v>3400</v>
      </c>
      <c r="G13" s="3" t="s">
        <v>423</v>
      </c>
      <c r="H13" s="46"/>
      <c r="I13" s="111"/>
      <c r="J13" s="21"/>
    </row>
    <row r="14" spans="1:10" ht="18.75" x14ac:dyDescent="0.3">
      <c r="A14" s="3" t="s">
        <v>733</v>
      </c>
      <c r="B14" s="5">
        <v>8925023082</v>
      </c>
      <c r="C14" s="3" t="s">
        <v>294</v>
      </c>
      <c r="D14" s="5">
        <v>14700</v>
      </c>
      <c r="E14" s="5"/>
      <c r="F14" s="38" t="s">
        <v>346</v>
      </c>
      <c r="G14" s="3"/>
      <c r="H14" s="46"/>
      <c r="I14" s="28"/>
      <c r="J14" s="21"/>
    </row>
    <row r="15" spans="1:10" ht="18.75" x14ac:dyDescent="0.3">
      <c r="A15" s="3" t="s">
        <v>330</v>
      </c>
      <c r="B15" s="5">
        <v>9884664943</v>
      </c>
      <c r="C15" s="3" t="s">
        <v>329</v>
      </c>
      <c r="D15" s="5">
        <v>2000</v>
      </c>
      <c r="E15" s="5" t="s">
        <v>747</v>
      </c>
      <c r="F15" s="80">
        <v>2000</v>
      </c>
      <c r="G15" s="3" t="s">
        <v>423</v>
      </c>
      <c r="H15" s="46"/>
      <c r="I15" s="21"/>
      <c r="J15" s="21"/>
    </row>
    <row r="16" spans="1:10" ht="18.75" x14ac:dyDescent="0.3">
      <c r="A16" s="31" t="s">
        <v>471</v>
      </c>
      <c r="B16" s="5"/>
      <c r="C16" s="3" t="s">
        <v>339</v>
      </c>
      <c r="D16" s="5">
        <v>1800</v>
      </c>
      <c r="E16" s="5"/>
      <c r="F16" s="38"/>
      <c r="G16" s="3"/>
      <c r="H16" s="128" t="s">
        <v>702</v>
      </c>
      <c r="I16" s="129"/>
      <c r="J16" s="21"/>
    </row>
    <row r="17" spans="1:10" ht="18.75" x14ac:dyDescent="0.3">
      <c r="A17" s="3" t="s">
        <v>343</v>
      </c>
      <c r="B17" s="5">
        <v>9940440423</v>
      </c>
      <c r="C17" s="3" t="s">
        <v>337</v>
      </c>
      <c r="D17" s="5">
        <v>1800</v>
      </c>
      <c r="E17" s="5" t="s">
        <v>689</v>
      </c>
      <c r="F17" s="80">
        <v>1800</v>
      </c>
      <c r="G17" s="3" t="s">
        <v>51</v>
      </c>
      <c r="H17" s="46"/>
      <c r="I17" s="21"/>
      <c r="J17" s="21"/>
    </row>
    <row r="18" spans="1:10" ht="18.75" x14ac:dyDescent="0.3">
      <c r="A18" s="3" t="s">
        <v>349</v>
      </c>
      <c r="B18" s="5"/>
      <c r="C18" s="3" t="s">
        <v>353</v>
      </c>
      <c r="D18" s="5">
        <v>2300</v>
      </c>
      <c r="E18" s="5"/>
      <c r="F18" s="80"/>
      <c r="G18" s="3"/>
      <c r="H18" s="46"/>
      <c r="I18" s="21"/>
      <c r="J18" s="21"/>
    </row>
    <row r="19" spans="1:10" ht="18.5" x14ac:dyDescent="0.45">
      <c r="A19" s="3" t="s">
        <v>507</v>
      </c>
      <c r="B19" s="5">
        <v>9042264206</v>
      </c>
      <c r="C19" s="3" t="s">
        <v>351</v>
      </c>
      <c r="D19" s="5">
        <v>4250</v>
      </c>
      <c r="E19" s="5"/>
      <c r="F19" s="80"/>
      <c r="G19" s="3"/>
      <c r="H19" s="21"/>
      <c r="J19" s="21"/>
    </row>
    <row r="20" spans="1:10" ht="18.5" x14ac:dyDescent="0.45">
      <c r="A20" s="3" t="s">
        <v>354</v>
      </c>
      <c r="B20" s="5">
        <v>6382501514</v>
      </c>
      <c r="C20" s="3" t="s">
        <v>353</v>
      </c>
      <c r="D20" s="5">
        <v>2000</v>
      </c>
      <c r="E20" s="5"/>
      <c r="F20" s="80"/>
      <c r="G20" s="3"/>
      <c r="H20" s="46" t="s">
        <v>711</v>
      </c>
      <c r="I20" s="21"/>
      <c r="J20" s="21"/>
    </row>
    <row r="21" spans="1:10" ht="18.5" x14ac:dyDescent="0.45">
      <c r="A21" s="31" t="s">
        <v>362</v>
      </c>
      <c r="B21" s="5">
        <v>9791273244</v>
      </c>
      <c r="C21" s="3" t="s">
        <v>358</v>
      </c>
      <c r="D21" s="5">
        <v>1600</v>
      </c>
      <c r="E21" s="5"/>
      <c r="F21" s="80" t="s">
        <v>346</v>
      </c>
      <c r="G21" s="3"/>
      <c r="H21" s="46"/>
      <c r="I21" s="21"/>
      <c r="J21" s="21"/>
    </row>
    <row r="22" spans="1:10" ht="18.5" x14ac:dyDescent="0.45">
      <c r="A22" s="31" t="s">
        <v>369</v>
      </c>
      <c r="B22" s="5">
        <v>9940053942</v>
      </c>
      <c r="C22" s="3" t="s">
        <v>373</v>
      </c>
      <c r="D22" s="5">
        <v>2000</v>
      </c>
      <c r="E22" s="5"/>
      <c r="F22" s="80" t="s">
        <v>346</v>
      </c>
      <c r="G22" s="3"/>
      <c r="H22" s="46" t="s">
        <v>718</v>
      </c>
      <c r="I22" s="21"/>
      <c r="J22" s="21"/>
    </row>
    <row r="23" spans="1:10" ht="18.5" x14ac:dyDescent="0.45">
      <c r="A23" s="3" t="s">
        <v>386</v>
      </c>
      <c r="B23" s="5">
        <v>8870042240</v>
      </c>
      <c r="C23" s="3" t="s">
        <v>399</v>
      </c>
      <c r="D23" s="5">
        <v>3500</v>
      </c>
      <c r="E23" s="5" t="s">
        <v>707</v>
      </c>
      <c r="F23" s="80">
        <v>3500</v>
      </c>
      <c r="G23" s="3" t="s">
        <v>423</v>
      </c>
      <c r="H23" s="46" t="s">
        <v>630</v>
      </c>
      <c r="I23" s="21"/>
      <c r="J23" s="21"/>
    </row>
    <row r="24" spans="1:10" ht="18.5" x14ac:dyDescent="0.45">
      <c r="A24" s="3" t="s">
        <v>391</v>
      </c>
      <c r="B24" s="5">
        <v>9032291673</v>
      </c>
      <c r="C24" s="3" t="s">
        <v>389</v>
      </c>
      <c r="D24" s="5">
        <v>2000</v>
      </c>
      <c r="E24" s="5" t="s">
        <v>741</v>
      </c>
      <c r="F24" s="80">
        <v>1600</v>
      </c>
      <c r="G24" s="3" t="s">
        <v>423</v>
      </c>
      <c r="H24" s="46"/>
      <c r="I24" s="21"/>
      <c r="J24" s="21"/>
    </row>
    <row r="25" spans="1:10" ht="18.5" x14ac:dyDescent="0.45">
      <c r="A25" s="3" t="s">
        <v>419</v>
      </c>
      <c r="B25" s="5">
        <v>9840753687</v>
      </c>
      <c r="C25" s="3" t="s">
        <v>402</v>
      </c>
      <c r="D25" s="5">
        <v>2500</v>
      </c>
      <c r="E25" s="5" t="s">
        <v>712</v>
      </c>
      <c r="F25" s="80">
        <v>2500</v>
      </c>
      <c r="G25" s="3" t="s">
        <v>47</v>
      </c>
      <c r="H25" s="46"/>
      <c r="I25" s="21"/>
      <c r="J25" s="21"/>
    </row>
    <row r="26" spans="1:10" ht="18.5" x14ac:dyDescent="0.45">
      <c r="A26" s="3" t="s">
        <v>781</v>
      </c>
      <c r="B26" s="5">
        <v>6383721663</v>
      </c>
      <c r="C26" s="3" t="s">
        <v>422</v>
      </c>
      <c r="D26" s="5">
        <v>2000</v>
      </c>
      <c r="E26" s="5" t="s">
        <v>747</v>
      </c>
      <c r="F26" s="80">
        <v>2000</v>
      </c>
      <c r="G26" s="3" t="s">
        <v>423</v>
      </c>
      <c r="H26" s="46"/>
      <c r="I26" s="21"/>
      <c r="J26" s="21"/>
    </row>
    <row r="27" spans="1:10" ht="18.5" x14ac:dyDescent="0.45">
      <c r="A27" s="3" t="s">
        <v>481</v>
      </c>
      <c r="B27" s="5">
        <v>7448958137</v>
      </c>
      <c r="C27" s="3" t="s">
        <v>433</v>
      </c>
      <c r="D27" s="5">
        <v>2500</v>
      </c>
      <c r="E27" s="5" t="s">
        <v>706</v>
      </c>
      <c r="F27" s="80">
        <v>2300</v>
      </c>
      <c r="G27" s="3" t="s">
        <v>47</v>
      </c>
      <c r="H27" s="46"/>
      <c r="I27" s="21"/>
      <c r="J27" s="21"/>
    </row>
    <row r="28" spans="1:10" ht="18.5" x14ac:dyDescent="0.45">
      <c r="A28" s="3" t="s">
        <v>463</v>
      </c>
      <c r="B28" s="5">
        <v>7904409817</v>
      </c>
      <c r="C28" s="3" t="s">
        <v>451</v>
      </c>
      <c r="D28" s="5">
        <v>4500</v>
      </c>
      <c r="E28" s="5" t="s">
        <v>770</v>
      </c>
      <c r="F28" s="80">
        <v>4500</v>
      </c>
      <c r="G28" s="3" t="s">
        <v>423</v>
      </c>
      <c r="H28" s="46" t="s">
        <v>630</v>
      </c>
      <c r="I28" s="21"/>
      <c r="J28" s="21"/>
    </row>
    <row r="29" spans="1:10" ht="18.5" x14ac:dyDescent="0.45">
      <c r="A29" s="3" t="s">
        <v>600</v>
      </c>
      <c r="B29" s="5">
        <v>9962718253</v>
      </c>
      <c r="C29" s="3" t="s">
        <v>474</v>
      </c>
      <c r="D29" s="5">
        <v>2000</v>
      </c>
      <c r="E29" s="5" t="s">
        <v>708</v>
      </c>
      <c r="F29" s="80">
        <v>1000</v>
      </c>
      <c r="G29" s="80" t="s">
        <v>423</v>
      </c>
      <c r="H29" s="130" t="s">
        <v>705</v>
      </c>
      <c r="I29" s="21"/>
      <c r="J29" s="21"/>
    </row>
    <row r="30" spans="1:10" ht="18.5" x14ac:dyDescent="0.45">
      <c r="A30" s="3" t="s">
        <v>473</v>
      </c>
      <c r="B30" s="5">
        <v>9566059846</v>
      </c>
      <c r="C30" s="3" t="s">
        <v>474</v>
      </c>
      <c r="D30" s="5">
        <v>1700</v>
      </c>
      <c r="E30" s="5"/>
      <c r="F30" s="5"/>
      <c r="G30" s="3"/>
      <c r="H30" s="125" t="s">
        <v>685</v>
      </c>
      <c r="I30" s="126"/>
      <c r="J30" s="21"/>
    </row>
    <row r="31" spans="1:10" ht="18.5" x14ac:dyDescent="0.45">
      <c r="A31" s="3" t="s">
        <v>501</v>
      </c>
      <c r="B31" s="5">
        <v>9080869326</v>
      </c>
      <c r="C31" s="3" t="s">
        <v>479</v>
      </c>
      <c r="D31" s="5">
        <v>1750</v>
      </c>
      <c r="E31" s="5" t="s">
        <v>706</v>
      </c>
      <c r="F31" s="5">
        <v>2000</v>
      </c>
      <c r="G31" s="3" t="s">
        <v>423</v>
      </c>
      <c r="H31" s="46"/>
      <c r="I31" s="21"/>
      <c r="J31" s="21"/>
    </row>
    <row r="32" spans="1:10" ht="18.5" x14ac:dyDescent="0.45">
      <c r="A32" s="3" t="s">
        <v>498</v>
      </c>
      <c r="B32" s="5">
        <v>9585821453</v>
      </c>
      <c r="C32" s="3" t="s">
        <v>499</v>
      </c>
      <c r="D32" s="5">
        <v>10000</v>
      </c>
      <c r="E32" s="5" t="s">
        <v>694</v>
      </c>
      <c r="F32" s="5">
        <v>10000</v>
      </c>
      <c r="G32" s="3" t="s">
        <v>47</v>
      </c>
      <c r="H32" s="46"/>
      <c r="I32" s="21"/>
      <c r="J32" s="21"/>
    </row>
    <row r="33" spans="1:10" ht="18.5" x14ac:dyDescent="0.45">
      <c r="A33" s="3" t="s">
        <v>504</v>
      </c>
      <c r="B33" s="5">
        <v>9841477377</v>
      </c>
      <c r="C33" s="3" t="s">
        <v>493</v>
      </c>
      <c r="D33" s="5">
        <v>2000</v>
      </c>
      <c r="E33" s="5" t="s">
        <v>742</v>
      </c>
      <c r="F33" s="5">
        <v>1900</v>
      </c>
      <c r="G33" s="3" t="s">
        <v>423</v>
      </c>
      <c r="H33" s="46"/>
      <c r="I33" s="21"/>
      <c r="J33" s="21">
        <v>9</v>
      </c>
    </row>
    <row r="34" spans="1:10" ht="18.5" x14ac:dyDescent="0.45">
      <c r="A34" s="3" t="s">
        <v>518</v>
      </c>
      <c r="B34" s="5">
        <v>9791101009</v>
      </c>
      <c r="C34" s="3" t="s">
        <v>522</v>
      </c>
      <c r="D34" s="5">
        <v>1700</v>
      </c>
      <c r="E34" s="5" t="s">
        <v>741</v>
      </c>
      <c r="F34" s="5">
        <v>1700</v>
      </c>
      <c r="G34" s="3" t="s">
        <v>423</v>
      </c>
      <c r="H34" s="46"/>
      <c r="I34" s="21"/>
      <c r="J34" s="21"/>
    </row>
    <row r="35" spans="1:10" ht="18.5" x14ac:dyDescent="0.45">
      <c r="A35" s="57" t="s">
        <v>618</v>
      </c>
      <c r="B35" s="5">
        <v>6381874899</v>
      </c>
      <c r="C35" s="3" t="s">
        <v>522</v>
      </c>
      <c r="D35" s="5">
        <v>2000</v>
      </c>
      <c r="E35" s="5" t="s">
        <v>695</v>
      </c>
      <c r="F35" s="41">
        <v>1000</v>
      </c>
      <c r="G35" s="3"/>
      <c r="H35" s="125" t="s">
        <v>703</v>
      </c>
      <c r="I35" s="21"/>
      <c r="J35" s="21"/>
    </row>
    <row r="36" spans="1:10" ht="18.5" x14ac:dyDescent="0.45">
      <c r="A36" s="3" t="s">
        <v>546</v>
      </c>
      <c r="B36" s="5">
        <v>9003517441</v>
      </c>
      <c r="C36" s="3" t="s">
        <v>525</v>
      </c>
      <c r="D36" s="5">
        <v>4000</v>
      </c>
      <c r="E36" s="5" t="s">
        <v>694</v>
      </c>
      <c r="F36" s="5">
        <v>3000</v>
      </c>
      <c r="G36" s="3" t="s">
        <v>47</v>
      </c>
      <c r="H36" s="46" t="s">
        <v>794</v>
      </c>
      <c r="I36" s="21"/>
      <c r="J36" s="21"/>
    </row>
    <row r="37" spans="1:10" ht="18.5" x14ac:dyDescent="0.45">
      <c r="A37" s="31" t="s">
        <v>700</v>
      </c>
      <c r="B37" s="5">
        <v>9176551349</v>
      </c>
      <c r="C37" s="3" t="s">
        <v>526</v>
      </c>
      <c r="D37" s="5">
        <v>1750</v>
      </c>
      <c r="E37" s="3"/>
      <c r="F37" s="38" t="s">
        <v>346</v>
      </c>
      <c r="G37" s="3"/>
      <c r="H37" s="46" t="s">
        <v>725</v>
      </c>
      <c r="I37" s="21"/>
      <c r="J37" s="21"/>
    </row>
    <row r="38" spans="1:10" ht="18.5" x14ac:dyDescent="0.45">
      <c r="A38" s="3" t="s">
        <v>542</v>
      </c>
      <c r="B38" s="5">
        <v>8190848756</v>
      </c>
      <c r="C38" s="3" t="s">
        <v>540</v>
      </c>
      <c r="D38" s="5">
        <v>1700</v>
      </c>
      <c r="E38" s="3" t="s">
        <v>694</v>
      </c>
      <c r="F38" s="5">
        <v>1700</v>
      </c>
      <c r="G38" s="3" t="s">
        <v>47</v>
      </c>
      <c r="H38" s="46"/>
      <c r="I38" s="21"/>
      <c r="J38" s="21"/>
    </row>
    <row r="39" spans="1:10" ht="18.5" x14ac:dyDescent="0.45">
      <c r="A39" s="3" t="s">
        <v>543</v>
      </c>
      <c r="B39" s="5">
        <v>9884690348</v>
      </c>
      <c r="C39" s="3" t="s">
        <v>521</v>
      </c>
      <c r="D39" s="5">
        <v>1150</v>
      </c>
      <c r="E39" s="3" t="s">
        <v>698</v>
      </c>
      <c r="F39" s="5">
        <v>1150</v>
      </c>
      <c r="G39" s="3" t="s">
        <v>2</v>
      </c>
      <c r="H39" s="46" t="s">
        <v>705</v>
      </c>
      <c r="I39" s="21"/>
      <c r="J39" s="21"/>
    </row>
    <row r="40" spans="1:10" ht="18.5" x14ac:dyDescent="0.45">
      <c r="A40" s="3" t="s">
        <v>577</v>
      </c>
      <c r="B40" s="5">
        <v>9444391545</v>
      </c>
      <c r="C40" s="3" t="s">
        <v>578</v>
      </c>
      <c r="D40" s="5">
        <v>1400</v>
      </c>
      <c r="E40" s="5" t="s">
        <v>689</v>
      </c>
      <c r="F40" s="5">
        <v>1400</v>
      </c>
      <c r="G40" s="3" t="s">
        <v>423</v>
      </c>
      <c r="H40" s="46"/>
      <c r="I40" s="21"/>
      <c r="J40" s="21"/>
    </row>
    <row r="41" spans="1:10" ht="18.5" x14ac:dyDescent="0.45">
      <c r="A41" s="31" t="s">
        <v>580</v>
      </c>
      <c r="B41" s="5">
        <v>9940023308</v>
      </c>
      <c r="C41" s="3" t="s">
        <v>579</v>
      </c>
      <c r="D41" s="5">
        <v>2000</v>
      </c>
      <c r="E41" s="5"/>
      <c r="F41" s="80" t="s">
        <v>346</v>
      </c>
      <c r="G41" s="3"/>
      <c r="H41" s="128" t="s">
        <v>702</v>
      </c>
      <c r="I41" s="21"/>
      <c r="J41" s="21"/>
    </row>
    <row r="42" spans="1:10" ht="18.5" x14ac:dyDescent="0.45">
      <c r="A42" s="3" t="s">
        <v>581</v>
      </c>
      <c r="B42" s="5">
        <v>9790812585</v>
      </c>
      <c r="C42" s="3" t="s">
        <v>582</v>
      </c>
      <c r="D42" s="5">
        <v>5200</v>
      </c>
      <c r="E42" s="5" t="s">
        <v>715</v>
      </c>
      <c r="F42" s="5">
        <v>3000</v>
      </c>
      <c r="G42" s="3"/>
      <c r="H42" s="46"/>
      <c r="I42" s="21"/>
      <c r="J42" s="21"/>
    </row>
    <row r="43" spans="1:10" ht="18.5" x14ac:dyDescent="0.45">
      <c r="A43" s="3"/>
      <c r="B43" s="5"/>
      <c r="C43" s="3"/>
      <c r="D43" s="5"/>
      <c r="E43" s="5"/>
      <c r="F43" s="5">
        <v>2000</v>
      </c>
      <c r="G43" s="3" t="s">
        <v>229</v>
      </c>
      <c r="H43" s="46" t="s">
        <v>763</v>
      </c>
      <c r="I43" s="21"/>
      <c r="J43" s="21"/>
    </row>
    <row r="44" spans="1:10" ht="18.5" x14ac:dyDescent="0.45">
      <c r="A44" s="3" t="s">
        <v>584</v>
      </c>
      <c r="B44" s="5">
        <v>8778615006</v>
      </c>
      <c r="C44" s="3" t="s">
        <v>583</v>
      </c>
      <c r="D44" s="5">
        <v>2000</v>
      </c>
      <c r="E44" s="5" t="s">
        <v>706</v>
      </c>
      <c r="F44" s="5">
        <v>2000</v>
      </c>
      <c r="G44" s="3" t="s">
        <v>423</v>
      </c>
      <c r="H44" s="46"/>
      <c r="I44" s="21"/>
      <c r="J44" s="21"/>
    </row>
    <row r="45" spans="1:10" ht="18.5" x14ac:dyDescent="0.45">
      <c r="A45" s="3" t="s">
        <v>611</v>
      </c>
      <c r="B45" s="5">
        <v>8754361011</v>
      </c>
      <c r="C45" s="3" t="s">
        <v>610</v>
      </c>
      <c r="D45" s="5">
        <v>2400</v>
      </c>
      <c r="E45" s="5" t="s">
        <v>734</v>
      </c>
      <c r="F45" s="5">
        <v>2200</v>
      </c>
      <c r="G45" s="3" t="s">
        <v>423</v>
      </c>
      <c r="H45" s="46"/>
      <c r="I45" s="21"/>
      <c r="J45" s="21"/>
    </row>
    <row r="46" spans="1:10" ht="18.5" x14ac:dyDescent="0.45">
      <c r="A46" s="3" t="s">
        <v>612</v>
      </c>
      <c r="B46" s="5">
        <v>9710459818</v>
      </c>
      <c r="C46" s="3" t="s">
        <v>606</v>
      </c>
      <c r="D46" s="5">
        <v>1500</v>
      </c>
      <c r="E46" s="5" t="s">
        <v>729</v>
      </c>
      <c r="F46" s="5">
        <v>1600</v>
      </c>
      <c r="G46" s="3" t="s">
        <v>359</v>
      </c>
      <c r="H46" s="46" t="s">
        <v>178</v>
      </c>
      <c r="I46" s="21" t="s">
        <v>730</v>
      </c>
      <c r="J46" s="21"/>
    </row>
    <row r="47" spans="1:10" ht="18.5" x14ac:dyDescent="0.45">
      <c r="A47" s="3" t="s">
        <v>625</v>
      </c>
      <c r="B47" s="5">
        <v>8610969772</v>
      </c>
      <c r="C47" s="3" t="s">
        <v>627</v>
      </c>
      <c r="D47" s="5">
        <v>2200</v>
      </c>
      <c r="E47" s="5"/>
      <c r="F47" s="5"/>
      <c r="G47" s="3"/>
      <c r="H47" s="46"/>
      <c r="I47" s="21"/>
      <c r="J47" s="21"/>
    </row>
    <row r="48" spans="1:10" ht="18.5" x14ac:dyDescent="0.45">
      <c r="A48" s="31" t="s">
        <v>634</v>
      </c>
      <c r="B48" s="5">
        <v>9342498965</v>
      </c>
      <c r="C48" s="3" t="s">
        <v>626</v>
      </c>
      <c r="D48" s="5">
        <v>8400</v>
      </c>
      <c r="E48" s="3"/>
      <c r="F48" s="38" t="s">
        <v>346</v>
      </c>
      <c r="G48" s="3"/>
      <c r="H48" s="46"/>
      <c r="I48" s="21"/>
      <c r="J48" s="21"/>
    </row>
    <row r="49" spans="1:10" ht="18.5" x14ac:dyDescent="0.45">
      <c r="A49" s="3" t="s">
        <v>633</v>
      </c>
      <c r="B49" s="5">
        <v>9840328079</v>
      </c>
      <c r="C49" s="3" t="s">
        <v>628</v>
      </c>
      <c r="D49" s="5">
        <v>6000</v>
      </c>
      <c r="E49" s="3" t="s">
        <v>748</v>
      </c>
      <c r="F49" s="5">
        <v>3500</v>
      </c>
      <c r="G49" s="3" t="s">
        <v>423</v>
      </c>
      <c r="H49" s="46" t="s">
        <v>749</v>
      </c>
      <c r="I49" s="21"/>
      <c r="J49" s="21"/>
    </row>
    <row r="50" spans="1:10" ht="18.5" x14ac:dyDescent="0.45">
      <c r="A50" s="31" t="s">
        <v>207</v>
      </c>
      <c r="B50" s="5"/>
      <c r="C50" s="3"/>
      <c r="D50" s="5">
        <v>2000</v>
      </c>
      <c r="E50" s="3"/>
      <c r="F50" s="38" t="s">
        <v>346</v>
      </c>
      <c r="G50" s="3"/>
      <c r="H50" s="46"/>
      <c r="I50" s="21"/>
      <c r="J50" s="21"/>
    </row>
    <row r="51" spans="1:10" ht="18.5" x14ac:dyDescent="0.45">
      <c r="A51" s="3" t="s">
        <v>638</v>
      </c>
      <c r="B51" s="5">
        <v>7397264637</v>
      </c>
      <c r="C51" s="3" t="s">
        <v>637</v>
      </c>
      <c r="D51" s="5">
        <v>1700</v>
      </c>
      <c r="E51" s="3" t="s">
        <v>741</v>
      </c>
      <c r="F51" s="5">
        <v>1700</v>
      </c>
      <c r="G51" s="3" t="s">
        <v>177</v>
      </c>
      <c r="H51" s="46" t="s">
        <v>178</v>
      </c>
      <c r="I51" s="21"/>
      <c r="J51" s="21"/>
    </row>
    <row r="52" spans="1:10" ht="18.5" x14ac:dyDescent="0.45">
      <c r="A52" s="3" t="s">
        <v>754</v>
      </c>
      <c r="B52" s="5">
        <v>7200151287</v>
      </c>
      <c r="C52" s="3" t="s">
        <v>647</v>
      </c>
      <c r="D52" s="5">
        <v>2100</v>
      </c>
      <c r="E52" s="3" t="s">
        <v>753</v>
      </c>
      <c r="F52" s="5">
        <v>2000</v>
      </c>
      <c r="G52" s="3" t="s">
        <v>47</v>
      </c>
      <c r="H52" s="46"/>
      <c r="I52" s="21"/>
      <c r="J52" s="21"/>
    </row>
    <row r="53" spans="1:10" ht="18.5" x14ac:dyDescent="0.45">
      <c r="A53" s="3" t="s">
        <v>732</v>
      </c>
      <c r="B53" s="5">
        <v>984004024</v>
      </c>
      <c r="C53" s="3" t="s">
        <v>688</v>
      </c>
      <c r="D53" s="5">
        <v>4000</v>
      </c>
      <c r="E53" s="3" t="s">
        <v>687</v>
      </c>
      <c r="F53" s="5">
        <v>4000</v>
      </c>
      <c r="G53" s="3" t="s">
        <v>47</v>
      </c>
      <c r="H53" s="46"/>
      <c r="I53" s="21"/>
      <c r="J53" s="21"/>
    </row>
    <row r="54" spans="1:10" ht="18.5" x14ac:dyDescent="0.45">
      <c r="A54" s="3"/>
      <c r="B54" s="5"/>
      <c r="C54" s="3" t="s">
        <v>698</v>
      </c>
      <c r="D54" s="5">
        <v>4200</v>
      </c>
      <c r="E54" s="3" t="s">
        <v>698</v>
      </c>
      <c r="F54" s="5">
        <v>4200</v>
      </c>
      <c r="G54" s="3" t="s">
        <v>47</v>
      </c>
      <c r="H54" s="46"/>
      <c r="I54" s="21"/>
      <c r="J54" s="21"/>
    </row>
    <row r="55" spans="1:10" ht="18.5" x14ac:dyDescent="0.45">
      <c r="A55" s="3"/>
      <c r="B55" s="5"/>
      <c r="C55" s="3" t="s">
        <v>771</v>
      </c>
      <c r="D55" s="5">
        <v>5200</v>
      </c>
      <c r="E55" s="3" t="s">
        <v>708</v>
      </c>
      <c r="F55" s="5">
        <v>5200</v>
      </c>
      <c r="G55" s="3" t="s">
        <v>47</v>
      </c>
      <c r="H55" s="46"/>
      <c r="I55" s="21"/>
      <c r="J55" s="21"/>
    </row>
    <row r="56" spans="1:10" ht="18.5" x14ac:dyDescent="0.45">
      <c r="A56" s="3" t="s">
        <v>693</v>
      </c>
      <c r="B56" s="5">
        <v>6380666089</v>
      </c>
      <c r="C56" s="3" t="s">
        <v>689</v>
      </c>
      <c r="D56" s="5">
        <v>5000</v>
      </c>
      <c r="E56" s="3" t="s">
        <v>689</v>
      </c>
      <c r="F56" s="5">
        <v>5400</v>
      </c>
      <c r="G56" s="3" t="s">
        <v>47</v>
      </c>
      <c r="H56" s="46"/>
      <c r="I56" s="21"/>
      <c r="J56" s="21"/>
    </row>
    <row r="57" spans="1:10" ht="18.5" x14ac:dyDescent="0.45">
      <c r="A57" s="3" t="s">
        <v>696</v>
      </c>
      <c r="B57" s="5">
        <v>9600116990</v>
      </c>
      <c r="C57" s="3" t="s">
        <v>694</v>
      </c>
      <c r="D57" s="5">
        <v>4200</v>
      </c>
      <c r="E57" s="3" t="s">
        <v>694</v>
      </c>
      <c r="F57" s="5">
        <v>4200</v>
      </c>
      <c r="G57" s="3" t="s">
        <v>47</v>
      </c>
      <c r="H57" s="46"/>
      <c r="I57" s="21"/>
      <c r="J57" s="21"/>
    </row>
    <row r="58" spans="1:10" ht="18.5" x14ac:dyDescent="0.45">
      <c r="A58" s="3" t="s">
        <v>699</v>
      </c>
      <c r="B58" s="5"/>
      <c r="C58" s="3" t="s">
        <v>697</v>
      </c>
      <c r="D58" s="5">
        <v>1500</v>
      </c>
      <c r="E58" s="3" t="s">
        <v>698</v>
      </c>
      <c r="F58" s="5">
        <v>1500</v>
      </c>
      <c r="G58" s="3" t="s">
        <v>16</v>
      </c>
      <c r="H58" s="46" t="s">
        <v>178</v>
      </c>
      <c r="I58" s="21"/>
      <c r="J58" s="21"/>
    </row>
    <row r="59" spans="1:10" ht="18.5" x14ac:dyDescent="0.45">
      <c r="A59" s="3" t="s">
        <v>743</v>
      </c>
      <c r="B59" s="5">
        <v>9590377980</v>
      </c>
      <c r="C59" s="3" t="s">
        <v>707</v>
      </c>
      <c r="D59" s="5">
        <v>1700</v>
      </c>
      <c r="E59" s="3" t="s">
        <v>707</v>
      </c>
      <c r="F59" s="5">
        <v>1700</v>
      </c>
      <c r="G59" s="3" t="s">
        <v>423</v>
      </c>
      <c r="H59" s="46"/>
      <c r="I59" s="21"/>
      <c r="J59" s="21"/>
    </row>
    <row r="60" spans="1:10" ht="18.5" x14ac:dyDescent="0.45">
      <c r="A60" s="3" t="s">
        <v>744</v>
      </c>
      <c r="B60" s="5">
        <v>9003920837</v>
      </c>
      <c r="C60" s="3" t="s">
        <v>712</v>
      </c>
      <c r="D60" s="5">
        <v>2000</v>
      </c>
      <c r="E60" s="5" t="s">
        <v>712</v>
      </c>
      <c r="F60" s="5">
        <v>2000</v>
      </c>
      <c r="G60" s="3" t="s">
        <v>47</v>
      </c>
      <c r="H60" s="46"/>
      <c r="I60" s="21"/>
      <c r="J60" s="21"/>
    </row>
    <row r="61" spans="1:10" ht="18.5" x14ac:dyDescent="0.45">
      <c r="A61" s="3" t="s">
        <v>717</v>
      </c>
      <c r="B61" s="5"/>
      <c r="C61" s="3" t="s">
        <v>716</v>
      </c>
      <c r="D61" s="5">
        <v>12000</v>
      </c>
      <c r="E61" s="3" t="s">
        <v>716</v>
      </c>
      <c r="F61" s="5">
        <v>2000</v>
      </c>
      <c r="G61" s="3" t="s">
        <v>47</v>
      </c>
      <c r="H61" s="46"/>
      <c r="I61" s="21"/>
      <c r="J61" s="21"/>
    </row>
    <row r="62" spans="1:10" ht="18.5" x14ac:dyDescent="0.45">
      <c r="A62" s="3" t="s">
        <v>713</v>
      </c>
      <c r="B62" s="5"/>
      <c r="C62" s="3" t="s">
        <v>714</v>
      </c>
      <c r="D62" s="5"/>
      <c r="E62" s="3" t="s">
        <v>714</v>
      </c>
      <c r="F62" s="5">
        <v>10000</v>
      </c>
      <c r="G62" s="3" t="s">
        <v>47</v>
      </c>
      <c r="H62" s="46"/>
      <c r="I62" s="21"/>
      <c r="J62" s="21"/>
    </row>
    <row r="63" spans="1:10" ht="18.5" x14ac:dyDescent="0.45">
      <c r="A63" s="3" t="s">
        <v>722</v>
      </c>
      <c r="B63" s="5">
        <v>8056556619</v>
      </c>
      <c r="C63" s="3" t="s">
        <v>723</v>
      </c>
      <c r="D63" s="5">
        <v>1600</v>
      </c>
      <c r="E63" s="3" t="s">
        <v>723</v>
      </c>
      <c r="F63" s="5">
        <v>1600</v>
      </c>
      <c r="G63" s="3" t="s">
        <v>47</v>
      </c>
      <c r="H63" s="46"/>
      <c r="I63" s="21"/>
      <c r="J63" s="21"/>
    </row>
    <row r="64" spans="1:10" ht="18.5" x14ac:dyDescent="0.45">
      <c r="A64" s="3" t="s">
        <v>726</v>
      </c>
      <c r="B64" s="5">
        <v>7305272310</v>
      </c>
      <c r="C64" s="3" t="s">
        <v>727</v>
      </c>
      <c r="D64" s="5">
        <v>5500</v>
      </c>
      <c r="E64" s="3" t="s">
        <v>727</v>
      </c>
      <c r="F64" s="5">
        <v>5700</v>
      </c>
      <c r="G64" s="3" t="s">
        <v>47</v>
      </c>
      <c r="H64" s="46"/>
      <c r="I64" s="21"/>
      <c r="J64" s="21"/>
    </row>
    <row r="65" spans="1:11" ht="18.5" x14ac:dyDescent="0.45">
      <c r="A65" s="3" t="s">
        <v>735</v>
      </c>
      <c r="B65" s="5"/>
      <c r="C65" s="3" t="s">
        <v>734</v>
      </c>
      <c r="D65" s="5">
        <v>2000</v>
      </c>
      <c r="E65" s="3" t="s">
        <v>734</v>
      </c>
      <c r="F65" s="5">
        <v>2000</v>
      </c>
      <c r="G65" s="3" t="s">
        <v>47</v>
      </c>
      <c r="H65" s="46"/>
      <c r="I65" s="21"/>
      <c r="J65" s="21" t="s">
        <v>728</v>
      </c>
    </row>
    <row r="66" spans="1:11" ht="18.5" x14ac:dyDescent="0.45">
      <c r="A66" s="3" t="s">
        <v>736</v>
      </c>
      <c r="B66" s="5"/>
      <c r="C66" s="3" t="s">
        <v>737</v>
      </c>
      <c r="D66" s="5">
        <v>1600</v>
      </c>
      <c r="E66" s="3" t="s">
        <v>737</v>
      </c>
      <c r="F66" s="5">
        <v>1600</v>
      </c>
      <c r="G66" s="3" t="s">
        <v>47</v>
      </c>
      <c r="H66" s="46"/>
      <c r="I66" s="21"/>
      <c r="J66" s="21"/>
    </row>
    <row r="67" spans="1:11" ht="18.5" x14ac:dyDescent="0.45">
      <c r="A67" s="3" t="s">
        <v>738</v>
      </c>
      <c r="B67" s="5"/>
      <c r="C67" s="3" t="s">
        <v>737</v>
      </c>
      <c r="D67" s="5">
        <v>2200</v>
      </c>
      <c r="E67" s="3" t="s">
        <v>737</v>
      </c>
      <c r="F67" s="5">
        <v>2200</v>
      </c>
      <c r="G67" s="3" t="s">
        <v>47</v>
      </c>
      <c r="H67" s="46"/>
      <c r="I67" s="21"/>
      <c r="J67" s="21"/>
    </row>
    <row r="68" spans="1:11" ht="18.5" x14ac:dyDescent="0.45">
      <c r="A68" s="3" t="s">
        <v>739</v>
      </c>
      <c r="B68" s="5"/>
      <c r="C68" s="3" t="s">
        <v>740</v>
      </c>
      <c r="D68" s="5">
        <v>2750</v>
      </c>
      <c r="E68" s="3" t="s">
        <v>740</v>
      </c>
      <c r="F68" s="5">
        <v>7750</v>
      </c>
      <c r="G68" s="3" t="s">
        <v>423</v>
      </c>
      <c r="H68" s="46"/>
      <c r="I68" s="21"/>
      <c r="J68" s="21"/>
    </row>
    <row r="69" spans="1:11" ht="18.5" x14ac:dyDescent="0.45">
      <c r="A69" s="3" t="s">
        <v>750</v>
      </c>
      <c r="B69" s="5">
        <v>6379860168</v>
      </c>
      <c r="C69" s="3" t="s">
        <v>747</v>
      </c>
      <c r="D69" s="5">
        <v>1700</v>
      </c>
      <c r="E69" s="3" t="s">
        <v>747</v>
      </c>
      <c r="F69" s="5">
        <v>15700</v>
      </c>
      <c r="G69" s="3" t="s">
        <v>47</v>
      </c>
      <c r="H69" s="46"/>
      <c r="I69" s="21"/>
      <c r="J69" s="21"/>
    </row>
    <row r="70" spans="1:11" ht="18.5" x14ac:dyDescent="0.45">
      <c r="A70" s="3" t="s">
        <v>845</v>
      </c>
      <c r="B70" s="5">
        <v>9095407562</v>
      </c>
      <c r="C70" s="3" t="s">
        <v>741</v>
      </c>
      <c r="D70" s="5">
        <v>2100</v>
      </c>
      <c r="E70" s="3" t="s">
        <v>753</v>
      </c>
      <c r="F70" s="5">
        <v>2100</v>
      </c>
      <c r="G70" s="3" t="s">
        <v>47</v>
      </c>
      <c r="H70" s="46"/>
      <c r="I70" s="21"/>
      <c r="J70" s="21"/>
    </row>
    <row r="71" spans="1:11" ht="18.5" x14ac:dyDescent="0.45">
      <c r="A71" s="3" t="s">
        <v>764</v>
      </c>
      <c r="B71" s="5"/>
      <c r="C71" s="3" t="s">
        <v>753</v>
      </c>
      <c r="D71" s="5">
        <v>18500</v>
      </c>
      <c r="E71" s="3" t="s">
        <v>753</v>
      </c>
      <c r="F71" s="5">
        <v>19000</v>
      </c>
      <c r="G71" s="3" t="s">
        <v>47</v>
      </c>
      <c r="H71" s="46" t="s">
        <v>773</v>
      </c>
      <c r="I71" s="21"/>
      <c r="J71" s="46" t="s">
        <v>774</v>
      </c>
      <c r="K71" s="21"/>
    </row>
    <row r="72" spans="1:11" ht="18.5" x14ac:dyDescent="0.45">
      <c r="E72" s="3"/>
      <c r="F72" s="5"/>
      <c r="G72" s="3"/>
      <c r="H72" s="46"/>
      <c r="I72" s="21"/>
      <c r="J72" s="21"/>
    </row>
    <row r="73" spans="1:11" ht="18.5" x14ac:dyDescent="0.45">
      <c r="E73" s="3"/>
      <c r="F73" s="5"/>
      <c r="G73" s="3"/>
      <c r="H73" s="46"/>
      <c r="I73" s="21"/>
      <c r="J73" s="21"/>
    </row>
    <row r="74" spans="1:11" ht="18.5" x14ac:dyDescent="0.45">
      <c r="A74" s="3"/>
      <c r="B74" s="5"/>
      <c r="C74" s="3"/>
      <c r="D74" s="5"/>
      <c r="E74" s="3"/>
      <c r="F74" s="5"/>
      <c r="G74" s="3"/>
      <c r="H74" s="46"/>
      <c r="I74" s="21"/>
      <c r="J74" s="21"/>
    </row>
    <row r="75" spans="1:11" ht="18.5" x14ac:dyDescent="0.45">
      <c r="A75" s="3"/>
      <c r="B75" s="5"/>
      <c r="C75" s="3"/>
      <c r="D75" s="5"/>
      <c r="E75" s="3"/>
      <c r="F75" s="80"/>
      <c r="G75" s="3"/>
      <c r="H75" s="46"/>
      <c r="I75" s="21"/>
      <c r="J75" s="21"/>
    </row>
    <row r="76" spans="1:11" ht="18.5" x14ac:dyDescent="0.45">
      <c r="A76" s="21"/>
      <c r="B76" s="21"/>
      <c r="C76" s="21"/>
      <c r="D76" s="21"/>
      <c r="E76" s="21"/>
      <c r="F76" s="22"/>
      <c r="G76" s="21"/>
      <c r="H76" s="21"/>
      <c r="I76" s="21"/>
      <c r="J76" s="21"/>
    </row>
    <row r="77" spans="1:11" ht="18.5" x14ac:dyDescent="0.45">
      <c r="A77" s="21"/>
      <c r="B77" s="21"/>
      <c r="C77" s="21"/>
      <c r="D77" s="21"/>
      <c r="E77" s="21"/>
      <c r="F77" s="22"/>
      <c r="G77" s="21"/>
      <c r="H77" s="21"/>
      <c r="I77" s="21"/>
      <c r="J77" s="21"/>
    </row>
    <row r="78" spans="1:11" ht="18.5" x14ac:dyDescent="0.45">
      <c r="A78" s="21"/>
      <c r="B78" s="21"/>
      <c r="C78" s="21"/>
      <c r="D78" s="21"/>
      <c r="E78" s="21"/>
      <c r="F78" s="22"/>
      <c r="G78" s="21"/>
      <c r="H78" s="21"/>
      <c r="I78" s="21"/>
      <c r="J78" s="21"/>
    </row>
    <row r="79" spans="1:11" ht="18.5" x14ac:dyDescent="0.45">
      <c r="A79" s="21"/>
      <c r="B79" s="21"/>
      <c r="C79" s="112" t="s">
        <v>66</v>
      </c>
      <c r="D79" s="112"/>
      <c r="E79" s="21"/>
      <c r="F79" s="22"/>
      <c r="G79" s="21"/>
      <c r="H79" s="21"/>
      <c r="I79" s="21"/>
      <c r="J79" s="21"/>
    </row>
    <row r="80" spans="1:11" ht="18.5" x14ac:dyDescent="0.45">
      <c r="A80" s="3" t="s">
        <v>187</v>
      </c>
      <c r="B80" s="3"/>
      <c r="C80" s="41" t="s">
        <v>687</v>
      </c>
      <c r="D80" s="41">
        <v>147</v>
      </c>
      <c r="E80" s="41">
        <v>25600</v>
      </c>
      <c r="F80" s="41">
        <v>2304</v>
      </c>
      <c r="G80" s="41">
        <v>2304</v>
      </c>
      <c r="H80" s="41"/>
      <c r="I80" s="121">
        <v>30208</v>
      </c>
      <c r="J80" s="59" t="s">
        <v>190</v>
      </c>
      <c r="K80" t="s">
        <v>720</v>
      </c>
    </row>
    <row r="81" spans="1:11" ht="18.5" x14ac:dyDescent="0.45">
      <c r="A81" s="3" t="s">
        <v>289</v>
      </c>
      <c r="B81" s="3"/>
      <c r="C81" s="41" t="s">
        <v>687</v>
      </c>
      <c r="D81" s="41">
        <v>148</v>
      </c>
      <c r="E81" s="41">
        <v>38770</v>
      </c>
      <c r="F81" s="41">
        <v>3489.3</v>
      </c>
      <c r="G81" s="41">
        <v>3489.3</v>
      </c>
      <c r="H81" s="41"/>
      <c r="I81" s="121">
        <v>45748.6</v>
      </c>
      <c r="J81" s="59" t="s">
        <v>192</v>
      </c>
      <c r="K81" t="s">
        <v>694</v>
      </c>
    </row>
    <row r="82" spans="1:11" ht="18.5" x14ac:dyDescent="0.45">
      <c r="A82" s="3" t="s">
        <v>416</v>
      </c>
      <c r="B82" s="3"/>
      <c r="C82" s="41" t="s">
        <v>687</v>
      </c>
      <c r="D82" s="41">
        <v>149</v>
      </c>
      <c r="E82" s="41">
        <v>14500</v>
      </c>
      <c r="F82" s="41">
        <v>1305</v>
      </c>
      <c r="G82" s="41">
        <v>1305</v>
      </c>
      <c r="H82" s="41"/>
      <c r="I82" s="121">
        <v>17110</v>
      </c>
      <c r="J82" s="59" t="s">
        <v>211</v>
      </c>
      <c r="K82" t="s">
        <v>694</v>
      </c>
    </row>
    <row r="83" spans="1:11" ht="18.5" x14ac:dyDescent="0.45">
      <c r="A83" s="39" t="s">
        <v>762</v>
      </c>
      <c r="B83" s="3"/>
      <c r="C83" s="41" t="s">
        <v>687</v>
      </c>
      <c r="D83" s="41">
        <v>150</v>
      </c>
      <c r="E83" s="41">
        <v>35700</v>
      </c>
      <c r="F83" s="41">
        <v>3213</v>
      </c>
      <c r="G83" s="41">
        <v>3213</v>
      </c>
      <c r="H83" s="41"/>
      <c r="I83" s="121">
        <v>37626</v>
      </c>
      <c r="J83" s="59" t="s">
        <v>233</v>
      </c>
      <c r="K83" t="s">
        <v>752</v>
      </c>
    </row>
    <row r="84" spans="1:11" ht="18.5" x14ac:dyDescent="0.45">
      <c r="A84" s="3" t="s">
        <v>341</v>
      </c>
      <c r="B84" s="3"/>
      <c r="C84" s="41" t="s">
        <v>687</v>
      </c>
      <c r="D84" s="41">
        <v>151</v>
      </c>
      <c r="E84" s="41">
        <v>11072</v>
      </c>
      <c r="F84" s="41">
        <v>996.48</v>
      </c>
      <c r="G84" s="41">
        <v>996.48</v>
      </c>
      <c r="H84" s="41"/>
      <c r="I84" s="121">
        <v>13064.96</v>
      </c>
      <c r="J84" s="59" t="s">
        <v>191</v>
      </c>
      <c r="K84" t="s">
        <v>753</v>
      </c>
    </row>
    <row r="85" spans="1:11" ht="18.5" x14ac:dyDescent="0.45">
      <c r="A85" s="131" t="s">
        <v>70</v>
      </c>
      <c r="B85" s="3"/>
      <c r="C85" s="41" t="s">
        <v>687</v>
      </c>
      <c r="D85" s="41">
        <v>152</v>
      </c>
      <c r="E85" s="41">
        <v>5600</v>
      </c>
      <c r="F85" s="41">
        <v>504</v>
      </c>
      <c r="G85" s="41">
        <v>504</v>
      </c>
      <c r="H85" s="41"/>
      <c r="I85" s="121">
        <v>6608</v>
      </c>
      <c r="J85" s="59" t="s">
        <v>213</v>
      </c>
      <c r="K85" t="s">
        <v>769</v>
      </c>
    </row>
    <row r="86" spans="1:11" ht="18.5" x14ac:dyDescent="0.45">
      <c r="A86" s="21" t="s">
        <v>459</v>
      </c>
      <c r="B86" s="3"/>
      <c r="C86" s="41" t="s">
        <v>687</v>
      </c>
      <c r="D86" s="41">
        <v>153</v>
      </c>
      <c r="E86" s="41">
        <v>2000</v>
      </c>
      <c r="F86" s="41">
        <v>180</v>
      </c>
      <c r="G86" s="41">
        <v>180</v>
      </c>
      <c r="H86" s="41"/>
      <c r="I86" s="118">
        <v>2360</v>
      </c>
      <c r="J86" s="41" t="s">
        <v>467</v>
      </c>
    </row>
    <row r="87" spans="1:11" ht="18.5" x14ac:dyDescent="0.45">
      <c r="A87" s="3" t="s">
        <v>406</v>
      </c>
      <c r="B87" s="3">
        <v>8428000331</v>
      </c>
      <c r="C87" s="41" t="s">
        <v>687</v>
      </c>
      <c r="D87" s="41">
        <v>154</v>
      </c>
      <c r="E87" s="41">
        <v>22400</v>
      </c>
      <c r="F87" s="41">
        <v>2016</v>
      </c>
      <c r="G87" s="41">
        <v>2016</v>
      </c>
      <c r="H87" s="41"/>
      <c r="I87" s="118">
        <v>26432</v>
      </c>
      <c r="J87" s="41" t="s">
        <v>413</v>
      </c>
      <c r="K87" t="s">
        <v>706</v>
      </c>
    </row>
    <row r="88" spans="1:11" ht="18.5" x14ac:dyDescent="0.45">
      <c r="A88" s="3" t="s">
        <v>144</v>
      </c>
      <c r="B88" s="3"/>
      <c r="C88" s="41" t="s">
        <v>687</v>
      </c>
      <c r="D88" s="41">
        <v>155</v>
      </c>
      <c r="E88" s="41">
        <v>45880</v>
      </c>
      <c r="F88" s="41">
        <v>4129.2</v>
      </c>
      <c r="G88" s="41">
        <v>4129.2</v>
      </c>
      <c r="H88" s="41"/>
      <c r="I88" s="3">
        <v>54138.400000000001</v>
      </c>
      <c r="J88" s="59" t="s">
        <v>235</v>
      </c>
      <c r="K88" t="s">
        <v>687</v>
      </c>
    </row>
    <row r="89" spans="1:11" ht="18.5" x14ac:dyDescent="0.45">
      <c r="A89" s="3" t="s">
        <v>434</v>
      </c>
      <c r="B89" s="3"/>
      <c r="C89" s="5" t="s">
        <v>697</v>
      </c>
      <c r="D89" s="41">
        <v>156</v>
      </c>
      <c r="E89" s="41">
        <v>14649</v>
      </c>
      <c r="F89" s="41">
        <v>1318.41</v>
      </c>
      <c r="G89" s="41">
        <v>1318.41</v>
      </c>
      <c r="H89" s="41"/>
      <c r="I89" s="121">
        <v>17285.82</v>
      </c>
      <c r="J89" s="59" t="s">
        <v>335</v>
      </c>
      <c r="K89" t="s">
        <v>707</v>
      </c>
    </row>
    <row r="90" spans="1:11" ht="18.5" x14ac:dyDescent="0.45">
      <c r="A90" s="3" t="s">
        <v>766</v>
      </c>
      <c r="B90" s="3">
        <v>7794025725</v>
      </c>
      <c r="C90" s="5" t="s">
        <v>708</v>
      </c>
      <c r="D90" s="41">
        <v>157</v>
      </c>
      <c r="E90" s="41">
        <v>17250</v>
      </c>
      <c r="F90" s="41">
        <v>1552.5</v>
      </c>
      <c r="G90" s="41">
        <v>1552.5</v>
      </c>
      <c r="H90" s="41"/>
      <c r="I90" s="3">
        <v>20355</v>
      </c>
      <c r="J90" s="5" t="s">
        <v>755</v>
      </c>
      <c r="K90" t="s">
        <v>708</v>
      </c>
    </row>
    <row r="91" spans="1:11" ht="18.5" x14ac:dyDescent="0.45">
      <c r="A91" s="3" t="s">
        <v>144</v>
      </c>
      <c r="B91" s="3"/>
      <c r="C91" s="5" t="s">
        <v>707</v>
      </c>
      <c r="D91" s="41">
        <v>158</v>
      </c>
      <c r="E91" s="41">
        <v>4440</v>
      </c>
      <c r="F91" s="41">
        <v>399.6</v>
      </c>
      <c r="G91" s="41">
        <v>399.6</v>
      </c>
      <c r="H91" s="41"/>
      <c r="I91" s="3">
        <v>5239.2</v>
      </c>
      <c r="J91" s="59" t="s">
        <v>235</v>
      </c>
      <c r="K91" t="s">
        <v>707</v>
      </c>
    </row>
    <row r="92" spans="1:11" ht="18.5" x14ac:dyDescent="0.45">
      <c r="A92" s="3" t="s">
        <v>459</v>
      </c>
      <c r="B92" s="3"/>
      <c r="C92" s="5" t="s">
        <v>707</v>
      </c>
      <c r="D92" s="41">
        <v>159</v>
      </c>
      <c r="E92" s="41">
        <v>2000</v>
      </c>
      <c r="F92" s="41">
        <v>180</v>
      </c>
      <c r="G92" s="41">
        <v>180</v>
      </c>
      <c r="H92" s="41"/>
      <c r="I92" s="3">
        <v>2360</v>
      </c>
      <c r="J92" s="41" t="s">
        <v>467</v>
      </c>
    </row>
    <row r="93" spans="1:11" ht="18.5" x14ac:dyDescent="0.45">
      <c r="A93" s="3" t="s">
        <v>405</v>
      </c>
      <c r="B93" s="3"/>
      <c r="C93" s="5" t="s">
        <v>707</v>
      </c>
      <c r="D93" s="41">
        <v>160</v>
      </c>
      <c r="E93" s="41">
        <v>1400</v>
      </c>
      <c r="F93" s="41">
        <v>126</v>
      </c>
      <c r="G93" s="41">
        <v>126</v>
      </c>
      <c r="H93" s="41"/>
      <c r="I93" s="121">
        <v>1652</v>
      </c>
      <c r="J93" s="41" t="s">
        <v>333</v>
      </c>
    </row>
    <row r="94" spans="1:11" ht="18.5" x14ac:dyDescent="0.45">
      <c r="A94" s="3" t="s">
        <v>604</v>
      </c>
      <c r="B94" s="3">
        <v>9442130825</v>
      </c>
      <c r="C94" s="5" t="s">
        <v>707</v>
      </c>
      <c r="D94" s="41">
        <v>161</v>
      </c>
      <c r="E94" s="41">
        <v>12500</v>
      </c>
      <c r="F94" s="41">
        <v>1125</v>
      </c>
      <c r="G94" s="41">
        <v>1125</v>
      </c>
      <c r="H94" s="41"/>
      <c r="I94" s="121">
        <v>14750</v>
      </c>
      <c r="J94" s="41" t="s">
        <v>651</v>
      </c>
      <c r="K94" t="s">
        <v>727</v>
      </c>
    </row>
    <row r="95" spans="1:11" ht="18.5" x14ac:dyDescent="0.45">
      <c r="A95" s="3" t="s">
        <v>709</v>
      </c>
      <c r="B95" s="3">
        <v>9043035545</v>
      </c>
      <c r="C95" s="5" t="s">
        <v>707</v>
      </c>
      <c r="D95" s="41">
        <v>162</v>
      </c>
      <c r="E95" s="41">
        <v>16000</v>
      </c>
      <c r="F95" s="41">
        <v>1440</v>
      </c>
      <c r="G95" s="41">
        <v>1440</v>
      </c>
      <c r="H95" s="41"/>
      <c r="I95" s="3">
        <v>18880</v>
      </c>
      <c r="J95" s="5" t="s">
        <v>756</v>
      </c>
      <c r="K95" t="s">
        <v>710</v>
      </c>
    </row>
    <row r="96" spans="1:11" ht="18.5" x14ac:dyDescent="0.45">
      <c r="A96" s="3" t="s">
        <v>418</v>
      </c>
      <c r="B96" s="3"/>
      <c r="C96" s="5" t="s">
        <v>707</v>
      </c>
      <c r="D96" s="41">
        <v>163</v>
      </c>
      <c r="E96" s="41">
        <v>6549</v>
      </c>
      <c r="F96" s="41">
        <v>589.41</v>
      </c>
      <c r="G96" s="41">
        <v>589.41</v>
      </c>
      <c r="H96" s="41"/>
      <c r="I96" s="3">
        <v>7727.82</v>
      </c>
      <c r="J96" s="5" t="s">
        <v>784</v>
      </c>
      <c r="K96" t="s">
        <v>712</v>
      </c>
    </row>
    <row r="97" spans="1:11" ht="18.5" x14ac:dyDescent="0.45">
      <c r="A97" s="3" t="s">
        <v>791</v>
      </c>
      <c r="B97" s="3">
        <v>9952955111</v>
      </c>
      <c r="C97" s="5" t="s">
        <v>712</v>
      </c>
      <c r="D97" s="41">
        <v>164</v>
      </c>
      <c r="E97" s="41">
        <v>2536</v>
      </c>
      <c r="F97" s="41">
        <v>228.24</v>
      </c>
      <c r="G97" s="41">
        <v>228.24</v>
      </c>
      <c r="H97" s="41"/>
      <c r="I97" s="3">
        <v>2992.48</v>
      </c>
      <c r="J97" s="41" t="s">
        <v>410</v>
      </c>
    </row>
    <row r="98" spans="1:11" ht="18.5" x14ac:dyDescent="0.45">
      <c r="A98" s="3" t="s">
        <v>615</v>
      </c>
      <c r="B98" s="3">
        <v>9489210061</v>
      </c>
      <c r="C98" s="41" t="s">
        <v>727</v>
      </c>
      <c r="D98" s="41">
        <v>165</v>
      </c>
      <c r="E98" s="41">
        <v>500</v>
      </c>
      <c r="F98" s="41">
        <v>45</v>
      </c>
      <c r="G98" s="41">
        <v>45</v>
      </c>
      <c r="H98" s="41"/>
      <c r="I98" s="121">
        <v>590</v>
      </c>
      <c r="J98" s="41" t="s">
        <v>654</v>
      </c>
      <c r="K98" t="s">
        <v>783</v>
      </c>
    </row>
    <row r="99" spans="1:11" ht="18.5" x14ac:dyDescent="0.45">
      <c r="A99" s="3" t="s">
        <v>757</v>
      </c>
      <c r="B99" s="3"/>
      <c r="C99" s="41" t="s">
        <v>758</v>
      </c>
      <c r="D99" s="41">
        <v>166</v>
      </c>
      <c r="E99" s="41">
        <v>36800</v>
      </c>
      <c r="F99" s="41">
        <v>3312</v>
      </c>
      <c r="G99" s="41">
        <v>3312</v>
      </c>
      <c r="H99" s="41"/>
      <c r="I99" s="121">
        <v>43424</v>
      </c>
      <c r="J99" s="41" t="s">
        <v>536</v>
      </c>
      <c r="K99" t="s">
        <v>747</v>
      </c>
    </row>
    <row r="100" spans="1:11" ht="18.5" x14ac:dyDescent="0.45">
      <c r="A100" s="3" t="s">
        <v>454</v>
      </c>
      <c r="B100" s="3"/>
      <c r="C100" s="41" t="s">
        <v>758</v>
      </c>
      <c r="D100" s="41">
        <v>167</v>
      </c>
      <c r="E100" s="41">
        <v>2100</v>
      </c>
      <c r="F100" s="41"/>
      <c r="G100" s="41"/>
      <c r="H100" s="41">
        <v>378</v>
      </c>
      <c r="I100" s="121">
        <v>2478</v>
      </c>
      <c r="J100" s="59" t="s">
        <v>334</v>
      </c>
    </row>
    <row r="101" spans="1:11" ht="18.5" x14ac:dyDescent="0.45">
      <c r="A101" s="3" t="s">
        <v>520</v>
      </c>
      <c r="B101" s="3"/>
      <c r="C101" s="41" t="s">
        <v>741</v>
      </c>
      <c r="D101" s="41">
        <v>168</v>
      </c>
      <c r="E101" s="41">
        <v>41746</v>
      </c>
      <c r="F101" s="41">
        <v>3757.14</v>
      </c>
      <c r="G101" s="41">
        <v>3757.14</v>
      </c>
      <c r="H101" s="41"/>
      <c r="I101" s="121">
        <v>49260.28</v>
      </c>
      <c r="J101" s="41" t="s">
        <v>537</v>
      </c>
      <c r="K101" t="s">
        <v>752</v>
      </c>
    </row>
    <row r="102" spans="1:11" ht="18.5" x14ac:dyDescent="0.45">
      <c r="A102" s="3" t="s">
        <v>745</v>
      </c>
      <c r="B102" s="3"/>
      <c r="C102" s="41" t="s">
        <v>759</v>
      </c>
      <c r="D102" s="41">
        <v>169</v>
      </c>
      <c r="E102" s="41">
        <v>22500</v>
      </c>
      <c r="F102" s="41">
        <v>2025</v>
      </c>
      <c r="G102" s="41">
        <v>2025</v>
      </c>
      <c r="H102" s="41"/>
      <c r="I102" s="121">
        <v>26550</v>
      </c>
      <c r="J102" s="41" t="s">
        <v>760</v>
      </c>
      <c r="K102" t="s">
        <v>765</v>
      </c>
    </row>
    <row r="103" spans="1:11" ht="18.5" x14ac:dyDescent="0.45">
      <c r="A103" s="3" t="s">
        <v>746</v>
      </c>
      <c r="B103" s="3"/>
      <c r="C103" s="41" t="s">
        <v>747</v>
      </c>
      <c r="D103" s="41">
        <v>170</v>
      </c>
      <c r="E103" s="41">
        <v>14068</v>
      </c>
      <c r="F103" s="41">
        <v>1266.1199999999999</v>
      </c>
      <c r="G103" s="41">
        <v>1266.1199999999999</v>
      </c>
      <c r="H103" s="41"/>
      <c r="I103" s="121">
        <v>16600.240000000002</v>
      </c>
      <c r="J103" s="41" t="s">
        <v>761</v>
      </c>
      <c r="K103" t="s">
        <v>753</v>
      </c>
    </row>
    <row r="104" spans="1:11" ht="18.5" x14ac:dyDescent="0.45">
      <c r="A104" s="3" t="s">
        <v>291</v>
      </c>
      <c r="B104" s="3"/>
      <c r="C104" s="41" t="s">
        <v>747</v>
      </c>
      <c r="D104" s="41">
        <v>171</v>
      </c>
      <c r="E104" s="41">
        <v>2500</v>
      </c>
      <c r="F104" s="41">
        <v>225</v>
      </c>
      <c r="G104" s="41">
        <v>225</v>
      </c>
      <c r="H104" s="41"/>
      <c r="I104" s="121">
        <v>2950</v>
      </c>
      <c r="J104" s="41" t="s">
        <v>215</v>
      </c>
      <c r="K104" t="s">
        <v>765</v>
      </c>
    </row>
    <row r="105" spans="1:11" ht="18.5" x14ac:dyDescent="0.45">
      <c r="A105" s="46"/>
      <c r="B105" s="46"/>
      <c r="C105" s="132"/>
      <c r="D105" s="132"/>
      <c r="E105" s="134">
        <v>399060</v>
      </c>
      <c r="F105" s="134">
        <v>35726.400000000001</v>
      </c>
      <c r="G105" s="134">
        <v>35726.400000000001</v>
      </c>
      <c r="H105" s="134">
        <v>378</v>
      </c>
      <c r="I105" s="135">
        <v>466390.8</v>
      </c>
      <c r="J105" s="132"/>
    </row>
    <row r="106" spans="1:11" ht="18.5" x14ac:dyDescent="0.45">
      <c r="A106" s="46"/>
      <c r="B106" s="46"/>
      <c r="C106" s="132"/>
      <c r="D106" s="132"/>
      <c r="E106" s="132"/>
      <c r="F106" s="132"/>
      <c r="G106" s="132"/>
      <c r="H106" s="132"/>
      <c r="I106" s="133"/>
      <c r="J106" s="132"/>
    </row>
    <row r="107" spans="1:11" ht="18.5" x14ac:dyDescent="0.45">
      <c r="A107" s="46"/>
      <c r="B107" s="46"/>
      <c r="C107" s="132"/>
      <c r="D107" s="132"/>
      <c r="E107" s="132"/>
      <c r="F107" s="134">
        <v>470890.8</v>
      </c>
      <c r="G107" s="137">
        <v>466390.8</v>
      </c>
      <c r="H107" s="132"/>
      <c r="I107" s="136">
        <v>4500</v>
      </c>
      <c r="J107" s="132"/>
    </row>
    <row r="108" spans="1:11" ht="18.5" x14ac:dyDescent="0.45">
      <c r="A108" s="46"/>
      <c r="B108" s="46"/>
      <c r="C108" s="132"/>
      <c r="D108" s="132"/>
      <c r="E108" s="132"/>
      <c r="F108" s="132"/>
      <c r="G108" s="132"/>
      <c r="H108" s="132"/>
      <c r="I108" s="133"/>
      <c r="J108" s="132"/>
    </row>
    <row r="109" spans="1:11" ht="18.5" x14ac:dyDescent="0.45">
      <c r="A109" s="46"/>
      <c r="B109" s="46"/>
      <c r="C109" s="132"/>
      <c r="D109" s="132"/>
      <c r="E109" s="132"/>
      <c r="F109" s="132"/>
      <c r="G109" s="132"/>
      <c r="H109" s="132"/>
      <c r="I109" s="133"/>
      <c r="J109" s="132"/>
    </row>
    <row r="110" spans="1:11" ht="18.5" x14ac:dyDescent="0.45">
      <c r="A110" s="46"/>
      <c r="B110" s="46"/>
      <c r="C110" s="132"/>
      <c r="D110" s="132"/>
      <c r="E110" s="132"/>
      <c r="F110" s="132"/>
      <c r="G110" s="132"/>
      <c r="H110" s="132"/>
      <c r="I110" s="133"/>
      <c r="J110" s="132"/>
    </row>
    <row r="111" spans="1:11" ht="18.5" x14ac:dyDescent="0.45">
      <c r="A111" s="21"/>
      <c r="B111" s="21"/>
      <c r="C111" s="21"/>
      <c r="D111" s="29"/>
      <c r="E111" s="29"/>
      <c r="F111" s="29"/>
      <c r="G111" s="29"/>
      <c r="H111" s="29"/>
      <c r="I111" s="21"/>
      <c r="J111" s="21"/>
    </row>
    <row r="112" spans="1:11" ht="18.5" x14ac:dyDescent="0.45">
      <c r="A112" s="21"/>
      <c r="B112" s="21"/>
      <c r="C112" s="21"/>
      <c r="D112" s="29"/>
      <c r="E112" s="29"/>
      <c r="F112" s="29"/>
      <c r="G112" s="29"/>
      <c r="H112" s="29"/>
      <c r="I112" s="21"/>
      <c r="J112" s="21"/>
    </row>
    <row r="113" spans="1:10" ht="18.5" x14ac:dyDescent="0.45">
      <c r="A113" s="21"/>
      <c r="B113" s="21"/>
      <c r="C113" s="21"/>
      <c r="D113" s="29"/>
      <c r="E113" s="29"/>
      <c r="F113" s="29"/>
      <c r="G113" s="29"/>
      <c r="H113" s="29"/>
      <c r="I113" s="21"/>
      <c r="J113" s="21"/>
    </row>
    <row r="114" spans="1:10" ht="18.5" x14ac:dyDescent="0.45">
      <c r="A114" s="3" t="s">
        <v>151</v>
      </c>
      <c r="B114" s="3"/>
      <c r="C114" s="41"/>
      <c r="D114" s="41">
        <v>136</v>
      </c>
      <c r="E114" s="41"/>
      <c r="F114" s="41"/>
      <c r="G114" s="41"/>
      <c r="H114" s="41"/>
      <c r="I114" s="121"/>
      <c r="J114" s="41"/>
    </row>
    <row r="115" spans="1:10" ht="18.5" x14ac:dyDescent="0.45">
      <c r="A115" s="31" t="s">
        <v>417</v>
      </c>
      <c r="B115" s="3"/>
      <c r="C115" s="41" t="s">
        <v>488</v>
      </c>
      <c r="D115" s="41">
        <v>112</v>
      </c>
      <c r="E115" s="41">
        <v>5000</v>
      </c>
      <c r="F115" s="41">
        <v>450</v>
      </c>
      <c r="G115" s="41">
        <v>450</v>
      </c>
      <c r="H115" s="41"/>
      <c r="I115" s="121">
        <v>5900</v>
      </c>
      <c r="J115" s="59" t="s">
        <v>235</v>
      </c>
    </row>
  </sheetData>
  <autoFilter ref="A1:J71"/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zoomScaleNormal="100" workbookViewId="0">
      <pane xSplit="1" ySplit="1" topLeftCell="B98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ColWidth="9.1796875" defaultRowHeight="17" x14ac:dyDescent="0.4"/>
  <cols>
    <col min="1" max="1" width="52.1796875" style="162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9.1796875" style="172"/>
    <col min="6" max="6" width="13.81640625" style="172" bestFit="1" customWidth="1"/>
    <col min="7" max="7" width="12.54296875" style="172" customWidth="1"/>
    <col min="8" max="8" width="29.7265625" style="172" bestFit="1" customWidth="1"/>
    <col min="9" max="9" width="29.54296875" style="172" bestFit="1" customWidth="1"/>
    <col min="10" max="10" width="12.54296875" style="162" customWidth="1"/>
    <col min="11" max="11" width="26" style="162" bestFit="1" customWidth="1"/>
    <col min="12" max="16384" width="9.1796875" style="162"/>
  </cols>
  <sheetData>
    <row r="1" spans="1:13" s="159" customFormat="1" ht="17.25" x14ac:dyDescent="0.3">
      <c r="A1" s="143" t="s">
        <v>188</v>
      </c>
      <c r="B1" s="144" t="s">
        <v>815</v>
      </c>
      <c r="C1" s="144" t="s">
        <v>816</v>
      </c>
      <c r="D1" s="144" t="s">
        <v>827</v>
      </c>
      <c r="E1" s="144" t="s">
        <v>817</v>
      </c>
      <c r="F1" s="144" t="s">
        <v>819</v>
      </c>
      <c r="G1" s="144" t="s">
        <v>820</v>
      </c>
      <c r="H1" s="144" t="s">
        <v>841</v>
      </c>
      <c r="I1" s="144" t="s">
        <v>821</v>
      </c>
      <c r="J1" s="143"/>
      <c r="K1" s="158"/>
      <c r="L1" s="158"/>
      <c r="M1" s="158"/>
    </row>
    <row r="2" spans="1:13" customFormat="1" ht="18.75" x14ac:dyDescent="0.3">
      <c r="A2" s="151" t="s">
        <v>0</v>
      </c>
      <c r="B2" s="150">
        <v>7299917887</v>
      </c>
      <c r="C2" s="150" t="s">
        <v>860</v>
      </c>
      <c r="D2" s="150">
        <v>18300</v>
      </c>
      <c r="E2" s="150">
        <v>18300</v>
      </c>
      <c r="F2" s="150" t="s">
        <v>795</v>
      </c>
      <c r="G2" s="173">
        <v>18300</v>
      </c>
      <c r="H2" s="150" t="s">
        <v>798</v>
      </c>
      <c r="I2" s="150"/>
      <c r="J2" s="3"/>
      <c r="K2" s="3"/>
      <c r="L2" s="4"/>
      <c r="M2" s="4"/>
    </row>
    <row r="3" spans="1:13" s="161" customFormat="1" ht="17.25" x14ac:dyDescent="0.3">
      <c r="A3" s="145" t="s">
        <v>36</v>
      </c>
      <c r="B3" s="146">
        <v>7904401435</v>
      </c>
      <c r="C3" s="146" t="s">
        <v>23</v>
      </c>
      <c r="D3" s="146"/>
      <c r="E3" s="146">
        <v>1750</v>
      </c>
      <c r="F3" s="146"/>
      <c r="G3" s="147">
        <v>1750</v>
      </c>
      <c r="H3" s="146"/>
      <c r="I3" s="153" t="s">
        <v>822</v>
      </c>
      <c r="J3" s="160"/>
      <c r="K3" s="145"/>
      <c r="L3" s="145"/>
      <c r="M3" s="145"/>
    </row>
    <row r="4" spans="1:13" ht="17.25" x14ac:dyDescent="0.3">
      <c r="A4" s="149" t="s">
        <v>248</v>
      </c>
      <c r="B4" s="150">
        <v>7550283099</v>
      </c>
      <c r="C4" s="150" t="s">
        <v>44</v>
      </c>
      <c r="D4" s="150">
        <v>6850</v>
      </c>
      <c r="E4" s="152">
        <v>6850</v>
      </c>
      <c r="F4" s="150">
        <v>6850</v>
      </c>
      <c r="G4" s="147"/>
      <c r="H4" s="150"/>
      <c r="I4" s="150"/>
      <c r="J4" s="151"/>
      <c r="K4" s="151"/>
      <c r="L4" s="151"/>
      <c r="M4" s="151"/>
    </row>
    <row r="5" spans="1:13" customFormat="1" ht="18.75" x14ac:dyDescent="0.3">
      <c r="A5" s="149" t="s">
        <v>629</v>
      </c>
      <c r="B5" s="150"/>
      <c r="C5" s="150" t="s">
        <v>5</v>
      </c>
      <c r="D5" s="150"/>
      <c r="E5" s="152">
        <v>3000</v>
      </c>
      <c r="F5" s="150" t="s">
        <v>775</v>
      </c>
      <c r="G5" s="147">
        <v>3000</v>
      </c>
      <c r="H5" s="150" t="s">
        <v>47</v>
      </c>
      <c r="I5" s="150"/>
      <c r="J5" s="3"/>
      <c r="K5" s="3"/>
      <c r="L5" s="4"/>
      <c r="M5" s="4"/>
    </row>
    <row r="6" spans="1:13" customFormat="1" ht="18.75" x14ac:dyDescent="0.3">
      <c r="A6" s="149" t="s">
        <v>45</v>
      </c>
      <c r="B6" s="150">
        <v>7904622354</v>
      </c>
      <c r="C6" s="150" t="s">
        <v>46</v>
      </c>
      <c r="D6" s="150"/>
      <c r="E6" s="150">
        <v>3200</v>
      </c>
      <c r="F6" s="152" t="s">
        <v>849</v>
      </c>
      <c r="G6" s="150">
        <v>6400</v>
      </c>
      <c r="H6" s="150" t="s">
        <v>47</v>
      </c>
      <c r="I6" s="150"/>
      <c r="J6" s="3"/>
      <c r="K6" s="3"/>
      <c r="L6" s="4"/>
      <c r="M6" s="4"/>
    </row>
    <row r="7" spans="1:13" ht="17.25" x14ac:dyDescent="0.3">
      <c r="A7" s="148" t="s">
        <v>60</v>
      </c>
      <c r="B7" s="153">
        <v>8925124442</v>
      </c>
      <c r="C7" s="153"/>
      <c r="D7" s="153">
        <v>10500</v>
      </c>
      <c r="E7" s="153">
        <v>1500</v>
      </c>
      <c r="F7" s="150"/>
      <c r="G7" s="154"/>
      <c r="H7" s="150"/>
      <c r="I7" s="153"/>
      <c r="J7" s="148"/>
      <c r="K7" s="151"/>
      <c r="L7" s="151"/>
      <c r="M7" s="151"/>
    </row>
    <row r="8" spans="1:13" ht="17.25" x14ac:dyDescent="0.3">
      <c r="A8" s="151" t="s">
        <v>223</v>
      </c>
      <c r="B8" s="150">
        <v>8148141825</v>
      </c>
      <c r="C8" s="150" t="s">
        <v>106</v>
      </c>
      <c r="D8" s="150"/>
      <c r="E8" s="155">
        <v>3200</v>
      </c>
      <c r="F8" s="152"/>
      <c r="G8" s="147">
        <v>3200</v>
      </c>
      <c r="H8" s="150"/>
      <c r="I8" s="150"/>
      <c r="J8" s="157"/>
      <c r="K8" s="151"/>
      <c r="L8" s="151"/>
      <c r="M8" s="151"/>
    </row>
    <row r="9" spans="1:13" ht="17.25" x14ac:dyDescent="0.3">
      <c r="A9" s="151" t="s">
        <v>223</v>
      </c>
      <c r="B9" s="150"/>
      <c r="C9" s="150" t="s">
        <v>793</v>
      </c>
      <c r="D9" s="150"/>
      <c r="E9" s="155">
        <v>1800</v>
      </c>
      <c r="F9" s="152"/>
      <c r="G9" s="147">
        <v>1800</v>
      </c>
      <c r="H9" s="150"/>
      <c r="I9" s="150"/>
      <c r="J9" s="157"/>
      <c r="K9" s="151"/>
      <c r="L9" s="151"/>
      <c r="M9" s="151"/>
    </row>
    <row r="10" spans="1:13" customFormat="1" ht="18.75" x14ac:dyDescent="0.3">
      <c r="A10" s="151" t="s">
        <v>160</v>
      </c>
      <c r="B10" s="150">
        <v>8825663180</v>
      </c>
      <c r="C10" s="150" t="s">
        <v>161</v>
      </c>
      <c r="D10" s="150"/>
      <c r="E10" s="150">
        <v>1750</v>
      </c>
      <c r="F10" s="150" t="s">
        <v>797</v>
      </c>
      <c r="G10" s="147">
        <v>1750</v>
      </c>
      <c r="H10" s="150" t="s">
        <v>798</v>
      </c>
      <c r="I10" s="150"/>
      <c r="J10" s="3"/>
      <c r="K10" s="3"/>
      <c r="L10" s="4"/>
      <c r="M10" s="4"/>
    </row>
    <row r="11" spans="1:13" s="25" customFormat="1" ht="18.75" x14ac:dyDescent="0.3">
      <c r="A11" s="148" t="s">
        <v>194</v>
      </c>
      <c r="B11" s="153">
        <v>9941351728</v>
      </c>
      <c r="C11" s="153" t="s">
        <v>195</v>
      </c>
      <c r="D11" s="153"/>
      <c r="E11" s="153">
        <v>3000</v>
      </c>
      <c r="F11" s="153" t="s">
        <v>775</v>
      </c>
      <c r="G11" s="154">
        <v>3000</v>
      </c>
      <c r="H11" s="153" t="s">
        <v>780</v>
      </c>
      <c r="I11" s="153" t="s">
        <v>861</v>
      </c>
      <c r="J11" s="57"/>
      <c r="K11" s="57"/>
      <c r="L11" s="141"/>
      <c r="M11" s="141"/>
    </row>
    <row r="12" spans="1:13" customFormat="1" ht="18.75" x14ac:dyDescent="0.3">
      <c r="A12" s="151" t="s">
        <v>7</v>
      </c>
      <c r="B12" s="150">
        <v>9840168557</v>
      </c>
      <c r="C12" s="150" t="s">
        <v>208</v>
      </c>
      <c r="D12" s="150"/>
      <c r="E12" s="150">
        <v>4000</v>
      </c>
      <c r="F12" s="150" t="s">
        <v>808</v>
      </c>
      <c r="G12" s="147">
        <v>4000</v>
      </c>
      <c r="H12" s="150" t="s">
        <v>809</v>
      </c>
      <c r="I12" s="150"/>
      <c r="J12" s="3"/>
      <c r="K12" s="3"/>
      <c r="L12" s="4"/>
      <c r="M12" s="4"/>
    </row>
    <row r="13" spans="1:13" ht="17.25" x14ac:dyDescent="0.3">
      <c r="A13" s="151" t="s">
        <v>266</v>
      </c>
      <c r="B13" s="150">
        <v>6385458304</v>
      </c>
      <c r="C13" s="150" t="s">
        <v>259</v>
      </c>
      <c r="D13" s="150"/>
      <c r="E13" s="150">
        <v>2200</v>
      </c>
      <c r="F13" s="150"/>
      <c r="G13" s="150">
        <v>2200</v>
      </c>
      <c r="H13" s="150" t="s">
        <v>976</v>
      </c>
      <c r="I13" s="175"/>
      <c r="J13" s="149"/>
      <c r="K13" s="151"/>
      <c r="L13" s="151"/>
      <c r="M13" s="151"/>
    </row>
    <row r="14" spans="1:13" customFormat="1" ht="18.75" x14ac:dyDescent="0.3">
      <c r="A14" s="151" t="s">
        <v>285</v>
      </c>
      <c r="B14" s="150">
        <v>9791050538</v>
      </c>
      <c r="C14" s="150" t="s">
        <v>279</v>
      </c>
      <c r="D14" s="150"/>
      <c r="E14" s="150">
        <v>3400</v>
      </c>
      <c r="F14" s="150" t="s">
        <v>804</v>
      </c>
      <c r="G14" s="147">
        <v>3400</v>
      </c>
      <c r="H14" s="150" t="s">
        <v>439</v>
      </c>
      <c r="I14" s="150"/>
      <c r="J14" s="139"/>
      <c r="K14" s="3"/>
      <c r="L14" s="4"/>
      <c r="M14" s="4"/>
    </row>
    <row r="15" spans="1:13" s="161" customFormat="1" ht="17.25" x14ac:dyDescent="0.3">
      <c r="A15" s="145" t="s">
        <v>767</v>
      </c>
      <c r="B15" s="146">
        <v>8925023082</v>
      </c>
      <c r="C15" s="146" t="s">
        <v>294</v>
      </c>
      <c r="D15" s="146"/>
      <c r="E15" s="146">
        <v>14700</v>
      </c>
      <c r="F15" s="146"/>
      <c r="G15" s="146"/>
      <c r="H15" s="146"/>
      <c r="I15" s="146" t="s">
        <v>822</v>
      </c>
      <c r="J15" s="163"/>
      <c r="K15" s="145"/>
      <c r="L15" s="145"/>
      <c r="M15" s="145"/>
    </row>
    <row r="16" spans="1:13" ht="17.25" x14ac:dyDescent="0.3">
      <c r="A16" s="151" t="s">
        <v>330</v>
      </c>
      <c r="B16" s="150">
        <v>9884664943</v>
      </c>
      <c r="C16" s="150" t="s">
        <v>329</v>
      </c>
      <c r="D16" s="150"/>
      <c r="E16" s="150">
        <v>2000</v>
      </c>
      <c r="F16" s="197">
        <v>46083</v>
      </c>
      <c r="G16" s="175">
        <v>2000</v>
      </c>
      <c r="H16" s="175" t="s">
        <v>880</v>
      </c>
      <c r="I16" s="150"/>
      <c r="J16" s="151"/>
      <c r="K16" s="151"/>
      <c r="L16" s="151"/>
      <c r="M16" s="151"/>
    </row>
    <row r="17" spans="1:13" customFormat="1" ht="18.75" x14ac:dyDescent="0.3">
      <c r="A17" s="151" t="s">
        <v>343</v>
      </c>
      <c r="B17" s="150">
        <v>9940440423</v>
      </c>
      <c r="C17" s="150" t="s">
        <v>337</v>
      </c>
      <c r="D17" s="150"/>
      <c r="E17" s="150">
        <v>1800</v>
      </c>
      <c r="F17" s="150" t="s">
        <v>751</v>
      </c>
      <c r="G17" s="147">
        <v>1800</v>
      </c>
      <c r="H17" s="150"/>
      <c r="I17" s="150"/>
      <c r="J17" s="3"/>
      <c r="K17" s="3"/>
      <c r="L17" s="4"/>
      <c r="M17" s="4"/>
    </row>
    <row r="18" spans="1:13" ht="17.25" x14ac:dyDescent="0.3">
      <c r="A18" s="151" t="s">
        <v>349</v>
      </c>
      <c r="B18" s="150">
        <v>9042264206</v>
      </c>
      <c r="C18" s="150" t="s">
        <v>353</v>
      </c>
      <c r="D18" s="150"/>
      <c r="E18" s="150">
        <v>14762</v>
      </c>
      <c r="F18" s="150"/>
      <c r="G18" s="147"/>
      <c r="H18" s="150"/>
      <c r="I18" s="150"/>
      <c r="J18" s="151"/>
      <c r="K18" s="151"/>
      <c r="L18" s="151"/>
      <c r="M18" s="151"/>
    </row>
    <row r="19" spans="1:13" ht="17.25" x14ac:dyDescent="0.3">
      <c r="A19" s="151" t="s">
        <v>507</v>
      </c>
      <c r="B19" s="150">
        <v>9042264206</v>
      </c>
      <c r="C19" s="150" t="s">
        <v>351</v>
      </c>
      <c r="D19" s="150"/>
      <c r="E19" s="150" t="s">
        <v>865</v>
      </c>
      <c r="F19" s="150" t="s">
        <v>854</v>
      </c>
      <c r="G19" s="147">
        <v>10000</v>
      </c>
      <c r="H19" s="150"/>
      <c r="I19" s="150"/>
      <c r="J19" s="151"/>
      <c r="K19" s="151"/>
      <c r="L19" s="151"/>
      <c r="M19" s="151"/>
    </row>
    <row r="20" spans="1:13" customFormat="1" ht="18.75" x14ac:dyDescent="0.3">
      <c r="A20" s="151" t="s">
        <v>354</v>
      </c>
      <c r="B20" s="150">
        <v>6382501514</v>
      </c>
      <c r="C20" s="150" t="s">
        <v>353</v>
      </c>
      <c r="D20" s="150"/>
      <c r="E20" s="150">
        <v>2000</v>
      </c>
      <c r="F20" s="150" t="s">
        <v>786</v>
      </c>
      <c r="G20" s="147">
        <v>1650</v>
      </c>
      <c r="H20" s="150" t="s">
        <v>863</v>
      </c>
      <c r="I20" s="150"/>
      <c r="J20" s="3"/>
      <c r="K20" s="3"/>
      <c r="L20" s="4"/>
      <c r="M20" s="4"/>
    </row>
    <row r="21" spans="1:13" customFormat="1" ht="18.75" x14ac:dyDescent="0.3">
      <c r="A21" s="151" t="s">
        <v>386</v>
      </c>
      <c r="B21" s="150">
        <v>8870042240</v>
      </c>
      <c r="C21" s="150" t="s">
        <v>399</v>
      </c>
      <c r="D21" s="150"/>
      <c r="E21" s="150">
        <v>3500</v>
      </c>
      <c r="F21" s="150" t="s">
        <v>790</v>
      </c>
      <c r="G21" s="147">
        <v>3500</v>
      </c>
      <c r="H21" s="150" t="s">
        <v>939</v>
      </c>
      <c r="I21" s="150"/>
      <c r="J21" s="3"/>
      <c r="K21" s="3"/>
      <c r="L21" s="4"/>
      <c r="M21" s="4"/>
    </row>
    <row r="22" spans="1:13" customFormat="1" ht="17.25" x14ac:dyDescent="0.3">
      <c r="A22" s="151" t="s">
        <v>979</v>
      </c>
      <c r="B22" s="150">
        <v>9032291673</v>
      </c>
      <c r="C22" s="150" t="s">
        <v>389</v>
      </c>
      <c r="D22" s="150"/>
      <c r="E22" s="150">
        <v>1600</v>
      </c>
      <c r="F22" s="150" t="s">
        <v>851</v>
      </c>
      <c r="G22" s="147">
        <v>1600</v>
      </c>
      <c r="H22" s="150"/>
      <c r="I22" s="150"/>
      <c r="J22" s="2"/>
      <c r="K22" s="2"/>
      <c r="L22" s="2"/>
      <c r="M22" s="2"/>
    </row>
    <row r="23" spans="1:13" ht="17.25" x14ac:dyDescent="0.3">
      <c r="A23" s="145" t="s">
        <v>419</v>
      </c>
      <c r="B23" s="146">
        <v>9840753687</v>
      </c>
      <c r="C23" s="146" t="s">
        <v>402</v>
      </c>
      <c r="D23" s="146"/>
      <c r="E23" s="146">
        <v>2500</v>
      </c>
      <c r="F23" s="150"/>
      <c r="G23" s="147"/>
      <c r="H23" s="150"/>
      <c r="I23" s="153" t="s">
        <v>822</v>
      </c>
      <c r="J23" s="151"/>
      <c r="K23" s="151"/>
      <c r="L23" s="151"/>
      <c r="M23" s="151"/>
    </row>
    <row r="24" spans="1:13" s="161" customFormat="1" ht="17.25" x14ac:dyDescent="0.3">
      <c r="A24" s="145" t="s">
        <v>781</v>
      </c>
      <c r="B24" s="146">
        <v>6383721663</v>
      </c>
      <c r="C24" s="146" t="s">
        <v>422</v>
      </c>
      <c r="D24" s="146"/>
      <c r="E24" s="146">
        <v>2000</v>
      </c>
      <c r="F24" s="146"/>
      <c r="G24" s="147"/>
      <c r="H24" s="146"/>
      <c r="I24" s="153" t="s">
        <v>811</v>
      </c>
      <c r="J24" s="145"/>
      <c r="K24" s="145"/>
      <c r="L24" s="145"/>
      <c r="M24" s="145"/>
    </row>
    <row r="25" spans="1:13" s="25" customFormat="1" ht="18.75" x14ac:dyDescent="0.3">
      <c r="A25" s="148" t="s">
        <v>481</v>
      </c>
      <c r="B25" s="153">
        <v>7448958137</v>
      </c>
      <c r="C25" s="153" t="s">
        <v>433</v>
      </c>
      <c r="D25" s="153"/>
      <c r="E25" s="153">
        <v>2500</v>
      </c>
      <c r="F25" s="153" t="s">
        <v>790</v>
      </c>
      <c r="G25" s="154">
        <v>750</v>
      </c>
      <c r="H25" s="153" t="s">
        <v>842</v>
      </c>
      <c r="I25" s="153" t="s">
        <v>811</v>
      </c>
      <c r="J25" s="57"/>
      <c r="K25" s="57"/>
      <c r="L25" s="141"/>
      <c r="M25" s="141"/>
    </row>
    <row r="26" spans="1:13" customFormat="1" ht="17.25" x14ac:dyDescent="0.3">
      <c r="A26" s="151" t="s">
        <v>463</v>
      </c>
      <c r="B26" s="150">
        <v>7904409817</v>
      </c>
      <c r="C26" s="150" t="s">
        <v>451</v>
      </c>
      <c r="D26" s="150"/>
      <c r="E26" s="150">
        <v>4500</v>
      </c>
      <c r="F26" s="150" t="s">
        <v>779</v>
      </c>
      <c r="G26" s="150">
        <v>5250</v>
      </c>
      <c r="H26" s="150"/>
      <c r="I26" s="150"/>
      <c r="J26" s="2"/>
      <c r="K26" s="2"/>
      <c r="L26" s="2"/>
      <c r="M26" s="2"/>
    </row>
    <row r="27" spans="1:13" ht="17.25" x14ac:dyDescent="0.3">
      <c r="A27" s="151" t="s">
        <v>600</v>
      </c>
      <c r="B27" s="150">
        <v>9962718253</v>
      </c>
      <c r="C27" s="150" t="s">
        <v>474</v>
      </c>
      <c r="D27" s="150"/>
      <c r="E27" s="150">
        <v>2800</v>
      </c>
      <c r="F27" s="150"/>
      <c r="G27" s="147"/>
      <c r="H27" s="147"/>
      <c r="I27" s="147"/>
      <c r="J27" s="151"/>
      <c r="K27" s="151"/>
      <c r="L27" s="151"/>
      <c r="M27" s="151"/>
    </row>
    <row r="28" spans="1:13" ht="17.25" x14ac:dyDescent="0.3">
      <c r="A28" s="151" t="s">
        <v>473</v>
      </c>
      <c r="B28" s="150">
        <v>9566059846</v>
      </c>
      <c r="C28" s="150" t="s">
        <v>474</v>
      </c>
      <c r="D28" s="150"/>
      <c r="E28" s="150">
        <v>1700</v>
      </c>
      <c r="F28" s="150"/>
      <c r="G28" s="150"/>
      <c r="H28" s="150"/>
      <c r="I28" s="176"/>
      <c r="J28" s="156"/>
      <c r="K28" s="151"/>
      <c r="L28" s="151"/>
      <c r="M28" s="151"/>
    </row>
    <row r="29" spans="1:13" ht="17.25" x14ac:dyDescent="0.3">
      <c r="A29" s="151" t="s">
        <v>501</v>
      </c>
      <c r="B29" s="150">
        <v>9080869326</v>
      </c>
      <c r="C29" s="150" t="s">
        <v>479</v>
      </c>
      <c r="D29" s="150"/>
      <c r="E29" s="150">
        <v>1750</v>
      </c>
      <c r="F29" s="150" t="s">
        <v>869</v>
      </c>
      <c r="G29" s="150">
        <v>1750</v>
      </c>
      <c r="H29" s="150"/>
      <c r="I29" s="150"/>
      <c r="J29" s="151"/>
      <c r="K29" s="151"/>
      <c r="L29" s="151"/>
      <c r="M29" s="151"/>
    </row>
    <row r="30" spans="1:13" ht="17.25" x14ac:dyDescent="0.3">
      <c r="A30" s="148" t="s">
        <v>498</v>
      </c>
      <c r="B30" s="153">
        <v>9585821453</v>
      </c>
      <c r="C30" s="153" t="s">
        <v>499</v>
      </c>
      <c r="D30" s="153"/>
      <c r="E30" s="153">
        <v>10000</v>
      </c>
      <c r="F30" s="150"/>
      <c r="G30" s="153"/>
      <c r="H30" s="150"/>
      <c r="I30" s="153" t="s">
        <v>785</v>
      </c>
      <c r="J30" s="148"/>
      <c r="K30" s="151"/>
      <c r="L30" s="151"/>
      <c r="M30" s="151"/>
    </row>
    <row r="31" spans="1:13" ht="17.25" x14ac:dyDescent="0.3">
      <c r="A31" s="151" t="s">
        <v>504</v>
      </c>
      <c r="B31" s="150">
        <v>9841477377</v>
      </c>
      <c r="C31" s="150" t="s">
        <v>493</v>
      </c>
      <c r="D31" s="150"/>
      <c r="E31" s="150">
        <v>2000</v>
      </c>
      <c r="F31" s="150" t="s">
        <v>859</v>
      </c>
      <c r="G31" s="150">
        <v>1900</v>
      </c>
      <c r="H31" s="150"/>
      <c r="I31" s="150"/>
      <c r="J31" s="151"/>
      <c r="K31" s="151"/>
      <c r="L31" s="151"/>
      <c r="M31" s="151"/>
    </row>
    <row r="32" spans="1:13" ht="17.25" x14ac:dyDescent="0.3">
      <c r="A32" s="151" t="s">
        <v>518</v>
      </c>
      <c r="B32" s="150">
        <v>9791101009</v>
      </c>
      <c r="C32" s="150" t="s">
        <v>522</v>
      </c>
      <c r="D32" s="150"/>
      <c r="E32" s="150">
        <v>1700</v>
      </c>
      <c r="F32" s="150"/>
      <c r="G32" s="150"/>
      <c r="H32" s="150"/>
      <c r="I32" s="150"/>
      <c r="J32" s="151"/>
      <c r="K32" s="151"/>
      <c r="L32" s="151"/>
      <c r="M32" s="151"/>
    </row>
    <row r="33" spans="1:13" customFormat="1" ht="18.75" x14ac:dyDescent="0.3">
      <c r="A33" s="151" t="s">
        <v>546</v>
      </c>
      <c r="B33" s="150">
        <v>9003517441</v>
      </c>
      <c r="C33" s="150" t="s">
        <v>525</v>
      </c>
      <c r="D33" s="150"/>
      <c r="E33" s="150">
        <v>3500</v>
      </c>
      <c r="F33" s="150" t="s">
        <v>769</v>
      </c>
      <c r="G33" s="150">
        <v>3500</v>
      </c>
      <c r="H33" s="150" t="s">
        <v>47</v>
      </c>
      <c r="I33" s="150"/>
      <c r="J33" s="3"/>
      <c r="K33" s="3"/>
      <c r="L33" s="4"/>
      <c r="M33" s="4"/>
    </row>
    <row r="34" spans="1:13" ht="17.25" x14ac:dyDescent="0.3">
      <c r="A34" s="151" t="s">
        <v>542</v>
      </c>
      <c r="B34" s="150">
        <v>8190848756</v>
      </c>
      <c r="C34" s="150" t="s">
        <v>607</v>
      </c>
      <c r="D34" s="150"/>
      <c r="E34" s="150">
        <v>1700</v>
      </c>
      <c r="F34" s="196">
        <v>46083</v>
      </c>
      <c r="G34" s="150">
        <v>1700</v>
      </c>
      <c r="H34" s="150" t="s">
        <v>47</v>
      </c>
      <c r="I34" s="150"/>
      <c r="J34" s="151"/>
      <c r="K34" s="151"/>
      <c r="L34" s="151"/>
      <c r="M34" s="151"/>
    </row>
    <row r="35" spans="1:13" customFormat="1" ht="18.75" x14ac:dyDescent="0.3">
      <c r="A35" s="151" t="s">
        <v>543</v>
      </c>
      <c r="B35" s="150">
        <v>9884690348</v>
      </c>
      <c r="C35" s="150" t="s">
        <v>521</v>
      </c>
      <c r="D35" s="150"/>
      <c r="E35" s="150">
        <v>1150</v>
      </c>
      <c r="F35" s="150" t="s">
        <v>843</v>
      </c>
      <c r="G35" s="150" t="s">
        <v>844</v>
      </c>
      <c r="H35" s="150" t="s">
        <v>862</v>
      </c>
      <c r="I35" s="150"/>
      <c r="J35" s="3"/>
      <c r="K35" s="3"/>
      <c r="L35" s="4"/>
      <c r="M35" s="4"/>
    </row>
    <row r="36" spans="1:13" customFormat="1" ht="17.25" x14ac:dyDescent="0.3">
      <c r="A36" s="151" t="s">
        <v>543</v>
      </c>
      <c r="B36" s="150"/>
      <c r="C36" s="150" t="s">
        <v>856</v>
      </c>
      <c r="D36" s="150"/>
      <c r="E36" s="150">
        <v>1150</v>
      </c>
      <c r="F36" s="150" t="s">
        <v>857</v>
      </c>
      <c r="G36" s="150" t="s">
        <v>844</v>
      </c>
      <c r="H36" s="150"/>
      <c r="I36" s="150"/>
      <c r="J36" s="2"/>
      <c r="K36" s="2"/>
      <c r="L36" s="2"/>
      <c r="M36" s="2"/>
    </row>
    <row r="37" spans="1:13" customFormat="1" ht="18.75" x14ac:dyDescent="0.3">
      <c r="A37" s="151" t="s">
        <v>577</v>
      </c>
      <c r="B37" s="150">
        <v>9444391545</v>
      </c>
      <c r="C37" s="150" t="s">
        <v>578</v>
      </c>
      <c r="D37" s="150"/>
      <c r="E37" s="150">
        <v>1400</v>
      </c>
      <c r="F37" s="150" t="s">
        <v>769</v>
      </c>
      <c r="G37" s="150">
        <v>1400</v>
      </c>
      <c r="H37" s="150" t="s">
        <v>423</v>
      </c>
      <c r="I37" s="150" t="s">
        <v>811</v>
      </c>
      <c r="J37" s="3"/>
      <c r="K37" s="3"/>
      <c r="L37" s="4"/>
      <c r="M37" s="4"/>
    </row>
    <row r="38" spans="1:13" s="138" customFormat="1" ht="18.75" x14ac:dyDescent="0.3">
      <c r="A38" s="145" t="s">
        <v>581</v>
      </c>
      <c r="B38" s="146">
        <v>9790812585</v>
      </c>
      <c r="C38" s="146" t="s">
        <v>582</v>
      </c>
      <c r="D38" s="146"/>
      <c r="E38" s="146">
        <v>5200</v>
      </c>
      <c r="F38" s="146" t="s">
        <v>790</v>
      </c>
      <c r="G38" s="146">
        <v>4500</v>
      </c>
      <c r="H38" s="146" t="s">
        <v>47</v>
      </c>
      <c r="I38" s="153" t="s">
        <v>818</v>
      </c>
      <c r="J38" s="31"/>
      <c r="K38" s="31"/>
      <c r="L38" s="140"/>
      <c r="M38" s="140"/>
    </row>
    <row r="39" spans="1:13" customFormat="1" ht="18.75" x14ac:dyDescent="0.3">
      <c r="A39" s="151" t="s">
        <v>584</v>
      </c>
      <c r="B39" s="150">
        <v>8778615006</v>
      </c>
      <c r="C39" s="150" t="s">
        <v>583</v>
      </c>
      <c r="D39" s="150"/>
      <c r="E39" s="150">
        <v>2000</v>
      </c>
      <c r="F39" s="150" t="s">
        <v>799</v>
      </c>
      <c r="G39" s="150">
        <v>2000</v>
      </c>
      <c r="H39" s="150" t="s">
        <v>798</v>
      </c>
      <c r="I39" s="150"/>
      <c r="J39" s="3"/>
      <c r="K39" s="3"/>
      <c r="L39" s="4"/>
      <c r="M39" s="4"/>
    </row>
    <row r="40" spans="1:13" s="164" customFormat="1" ht="17.25" x14ac:dyDescent="0.3">
      <c r="A40" s="148" t="s">
        <v>611</v>
      </c>
      <c r="B40" s="153">
        <v>8754361011</v>
      </c>
      <c r="C40" s="153" t="s">
        <v>610</v>
      </c>
      <c r="D40" s="153"/>
      <c r="E40" s="153">
        <v>2400</v>
      </c>
      <c r="F40" s="153" t="s">
        <v>800</v>
      </c>
      <c r="G40" s="153"/>
      <c r="H40" s="153"/>
      <c r="I40" s="153" t="s">
        <v>811</v>
      </c>
      <c r="J40" s="148"/>
      <c r="K40" s="148"/>
      <c r="L40" s="148"/>
      <c r="M40" s="148"/>
    </row>
    <row r="41" spans="1:13" s="164" customFormat="1" ht="17.25" x14ac:dyDescent="0.3">
      <c r="A41" s="148" t="s">
        <v>612</v>
      </c>
      <c r="B41" s="153">
        <v>9710459818</v>
      </c>
      <c r="C41" s="153" t="s">
        <v>606</v>
      </c>
      <c r="D41" s="153"/>
      <c r="E41" s="153">
        <v>1500</v>
      </c>
      <c r="F41" s="153" t="s">
        <v>803</v>
      </c>
      <c r="G41" s="153"/>
      <c r="H41" s="153"/>
      <c r="I41" s="153" t="s">
        <v>811</v>
      </c>
      <c r="J41" s="148"/>
      <c r="K41" s="148"/>
      <c r="L41" s="148"/>
      <c r="M41" s="148"/>
    </row>
    <row r="42" spans="1:13" s="138" customFormat="1" ht="18.75" x14ac:dyDescent="0.3">
      <c r="A42" s="145" t="s">
        <v>864</v>
      </c>
      <c r="B42" s="146">
        <v>8610969772</v>
      </c>
      <c r="C42" s="146" t="s">
        <v>627</v>
      </c>
      <c r="D42" s="146"/>
      <c r="E42" s="146">
        <v>2200</v>
      </c>
      <c r="F42" s="146" t="s">
        <v>775</v>
      </c>
      <c r="G42" s="146">
        <v>2000</v>
      </c>
      <c r="H42" s="146" t="s">
        <v>47</v>
      </c>
      <c r="I42" s="153" t="s">
        <v>818</v>
      </c>
      <c r="J42" s="31"/>
      <c r="K42" s="31"/>
      <c r="L42" s="140"/>
      <c r="M42" s="140"/>
    </row>
    <row r="43" spans="1:13" customFormat="1" ht="17.25" x14ac:dyDescent="0.3">
      <c r="A43" s="148" t="s">
        <v>848</v>
      </c>
      <c r="B43" s="153">
        <v>9840328079</v>
      </c>
      <c r="C43" s="153" t="s">
        <v>628</v>
      </c>
      <c r="D43" s="153"/>
      <c r="E43" s="153">
        <v>6000</v>
      </c>
      <c r="F43" s="153"/>
      <c r="G43" s="153">
        <v>6000</v>
      </c>
      <c r="H43" s="153"/>
      <c r="I43" s="153" t="s">
        <v>818</v>
      </c>
      <c r="J43" s="2"/>
      <c r="K43" s="2"/>
      <c r="L43" s="2"/>
      <c r="M43" s="2"/>
    </row>
    <row r="44" spans="1:13" customFormat="1" ht="18.75" x14ac:dyDescent="0.3">
      <c r="A44" s="151" t="s">
        <v>638</v>
      </c>
      <c r="B44" s="150">
        <v>7397264637</v>
      </c>
      <c r="C44" s="150" t="s">
        <v>637</v>
      </c>
      <c r="D44" s="150"/>
      <c r="E44" s="150">
        <v>1700</v>
      </c>
      <c r="F44" s="150" t="s">
        <v>812</v>
      </c>
      <c r="G44" s="150">
        <v>1700</v>
      </c>
      <c r="H44" s="150" t="s">
        <v>814</v>
      </c>
      <c r="I44" s="150"/>
      <c r="J44" s="3"/>
      <c r="K44" s="3"/>
      <c r="L44" s="4"/>
      <c r="M44" s="4"/>
    </row>
    <row r="45" spans="1:13" customFormat="1" ht="18.75" x14ac:dyDescent="0.3">
      <c r="A45" s="151" t="s">
        <v>646</v>
      </c>
      <c r="B45" s="150">
        <v>7200151287</v>
      </c>
      <c r="C45" s="150" t="s">
        <v>647</v>
      </c>
      <c r="D45" s="150"/>
      <c r="E45" s="150">
        <v>2250</v>
      </c>
      <c r="F45" s="150" t="s">
        <v>753</v>
      </c>
      <c r="G45" s="150">
        <v>2000</v>
      </c>
      <c r="H45" s="150" t="s">
        <v>47</v>
      </c>
      <c r="I45" s="150"/>
      <c r="J45" s="3"/>
      <c r="K45" s="3"/>
      <c r="L45" s="4"/>
      <c r="M45" s="4"/>
    </row>
    <row r="46" spans="1:13" customFormat="1" ht="18.75" x14ac:dyDescent="0.3">
      <c r="A46" s="151" t="s">
        <v>801</v>
      </c>
      <c r="B46" s="150">
        <v>984004024</v>
      </c>
      <c r="C46" s="150" t="s">
        <v>688</v>
      </c>
      <c r="D46" s="150"/>
      <c r="E46" s="155">
        <v>4000</v>
      </c>
      <c r="F46" s="150" t="s">
        <v>802</v>
      </c>
      <c r="G46" s="150">
        <v>11250</v>
      </c>
      <c r="H46" s="150" t="s">
        <v>47</v>
      </c>
      <c r="I46" s="150"/>
      <c r="J46" s="3"/>
      <c r="K46" s="3"/>
      <c r="L46" s="4"/>
      <c r="M46" s="4"/>
    </row>
    <row r="47" spans="1:13" customFormat="1" ht="17.25" x14ac:dyDescent="0.3">
      <c r="A47" s="151"/>
      <c r="B47" s="150"/>
      <c r="C47" s="150" t="s">
        <v>698</v>
      </c>
      <c r="D47" s="150"/>
      <c r="E47" s="155">
        <v>3750</v>
      </c>
      <c r="F47" s="150" t="s">
        <v>802</v>
      </c>
      <c r="G47" s="150">
        <v>3750</v>
      </c>
      <c r="H47" s="150"/>
      <c r="I47" s="150"/>
      <c r="J47" s="2"/>
      <c r="K47" s="2"/>
      <c r="L47" s="2"/>
      <c r="M47" s="2"/>
    </row>
    <row r="48" spans="1:13" customFormat="1" ht="17.25" x14ac:dyDescent="0.3">
      <c r="A48" s="151"/>
      <c r="B48" s="150"/>
      <c r="C48" s="150" t="s">
        <v>708</v>
      </c>
      <c r="D48" s="150"/>
      <c r="E48" s="155">
        <v>3500</v>
      </c>
      <c r="F48" s="150" t="s">
        <v>802</v>
      </c>
      <c r="G48" s="150">
        <v>3750</v>
      </c>
      <c r="H48" s="150"/>
      <c r="I48" s="150"/>
      <c r="J48" s="2"/>
      <c r="K48" s="2"/>
      <c r="L48" s="2"/>
      <c r="M48" s="2"/>
    </row>
    <row r="49" spans="1:13" s="25" customFormat="1" ht="18.75" x14ac:dyDescent="0.3">
      <c r="A49" s="148" t="s">
        <v>693</v>
      </c>
      <c r="B49" s="153">
        <v>6380666089</v>
      </c>
      <c r="C49" s="153" t="s">
        <v>689</v>
      </c>
      <c r="D49" s="153"/>
      <c r="E49" s="153">
        <v>5000</v>
      </c>
      <c r="F49" s="153" t="s">
        <v>752</v>
      </c>
      <c r="G49" s="153">
        <v>5000</v>
      </c>
      <c r="H49" s="153"/>
      <c r="I49" s="153" t="s">
        <v>870</v>
      </c>
      <c r="J49" s="57"/>
      <c r="K49" s="57"/>
      <c r="L49" s="141"/>
      <c r="M49" s="141"/>
    </row>
    <row r="50" spans="1:13" ht="17.25" x14ac:dyDescent="0.3">
      <c r="A50" s="148" t="s">
        <v>696</v>
      </c>
      <c r="B50" s="150">
        <v>9600116990</v>
      </c>
      <c r="C50" s="150" t="s">
        <v>694</v>
      </c>
      <c r="D50" s="150"/>
      <c r="E50" s="150">
        <v>4200</v>
      </c>
      <c r="F50" s="150"/>
      <c r="G50" s="153"/>
      <c r="H50" s="150"/>
      <c r="I50" s="153" t="s">
        <v>823</v>
      </c>
      <c r="J50" s="151"/>
      <c r="K50" s="151"/>
      <c r="L50" s="151"/>
      <c r="M50" s="151"/>
    </row>
    <row r="51" spans="1:13" customFormat="1" ht="18.75" x14ac:dyDescent="0.3">
      <c r="A51" s="151" t="s">
        <v>699</v>
      </c>
      <c r="B51" s="150">
        <v>9940377630</v>
      </c>
      <c r="C51" s="150" t="s">
        <v>697</v>
      </c>
      <c r="D51" s="150"/>
      <c r="E51" s="150">
        <v>1500</v>
      </c>
      <c r="F51" s="150" t="s">
        <v>803</v>
      </c>
      <c r="G51" s="150">
        <v>1500</v>
      </c>
      <c r="H51" s="150" t="s">
        <v>798</v>
      </c>
      <c r="I51" s="150"/>
      <c r="J51" s="3"/>
      <c r="K51" s="3"/>
      <c r="L51" s="4"/>
      <c r="M51" s="4"/>
    </row>
    <row r="52" spans="1:13" customFormat="1" ht="18.75" x14ac:dyDescent="0.3">
      <c r="A52" s="151" t="s">
        <v>744</v>
      </c>
      <c r="B52" s="150">
        <v>9003920837</v>
      </c>
      <c r="C52" s="150" t="s">
        <v>712</v>
      </c>
      <c r="D52" s="150"/>
      <c r="E52" s="150">
        <v>2000</v>
      </c>
      <c r="F52" s="150" t="s">
        <v>790</v>
      </c>
      <c r="G52" s="150">
        <v>1800</v>
      </c>
      <c r="H52" s="150" t="s">
        <v>47</v>
      </c>
      <c r="I52" s="150"/>
      <c r="J52" s="3"/>
      <c r="K52" s="3"/>
      <c r="L52" s="4"/>
      <c r="M52" s="4"/>
    </row>
    <row r="53" spans="1:13" s="138" customFormat="1" ht="18.75" x14ac:dyDescent="0.3">
      <c r="A53" s="145" t="s">
        <v>717</v>
      </c>
      <c r="B53" s="146">
        <v>9025450206</v>
      </c>
      <c r="C53" s="146" t="s">
        <v>716</v>
      </c>
      <c r="D53" s="146"/>
      <c r="E53" s="146">
        <v>10000</v>
      </c>
      <c r="F53" s="146" t="s">
        <v>797</v>
      </c>
      <c r="G53" s="146">
        <v>10000</v>
      </c>
      <c r="H53" s="146" t="s">
        <v>47</v>
      </c>
      <c r="I53" s="146" t="s">
        <v>963</v>
      </c>
      <c r="J53" s="31"/>
      <c r="K53" s="31"/>
      <c r="L53" s="140"/>
      <c r="M53" s="140"/>
    </row>
    <row r="54" spans="1:13" customFormat="1" ht="18.75" x14ac:dyDescent="0.3">
      <c r="A54" s="151" t="s">
        <v>722</v>
      </c>
      <c r="B54" s="150">
        <v>8056556619</v>
      </c>
      <c r="C54" s="150" t="s">
        <v>723</v>
      </c>
      <c r="D54" s="150"/>
      <c r="E54" s="150">
        <v>1600</v>
      </c>
      <c r="F54" s="150" t="s">
        <v>808</v>
      </c>
      <c r="G54" s="150">
        <v>1600</v>
      </c>
      <c r="H54" s="150" t="s">
        <v>47</v>
      </c>
      <c r="I54" s="150"/>
      <c r="J54" s="3"/>
      <c r="K54" s="3"/>
      <c r="L54" s="4"/>
      <c r="M54" s="4"/>
    </row>
    <row r="55" spans="1:13" customFormat="1" ht="18.75" x14ac:dyDescent="0.3">
      <c r="A55" s="151" t="s">
        <v>726</v>
      </c>
      <c r="B55" s="150">
        <v>7305272310</v>
      </c>
      <c r="C55" s="150" t="s">
        <v>727</v>
      </c>
      <c r="D55" s="150"/>
      <c r="E55" s="150">
        <v>5500</v>
      </c>
      <c r="F55" s="150" t="s">
        <v>806</v>
      </c>
      <c r="G55" s="150">
        <v>5700</v>
      </c>
      <c r="H55" s="150" t="s">
        <v>47</v>
      </c>
      <c r="I55" s="150"/>
      <c r="J55" s="3"/>
      <c r="K55" s="3"/>
      <c r="L55" s="4"/>
      <c r="M55" s="4"/>
    </row>
    <row r="56" spans="1:13" customFormat="1" ht="18.75" x14ac:dyDescent="0.3">
      <c r="A56" s="151" t="s">
        <v>735</v>
      </c>
      <c r="B56" s="150">
        <v>9789308646</v>
      </c>
      <c r="C56" s="150" t="s">
        <v>734</v>
      </c>
      <c r="D56" s="150"/>
      <c r="E56" s="150">
        <v>2000</v>
      </c>
      <c r="F56" s="150" t="s">
        <v>806</v>
      </c>
      <c r="G56" s="150">
        <v>1800</v>
      </c>
      <c r="H56" s="150" t="s">
        <v>47</v>
      </c>
      <c r="I56" s="150"/>
      <c r="J56" s="3"/>
      <c r="K56" s="3"/>
      <c r="L56" s="4"/>
      <c r="M56" s="4"/>
    </row>
    <row r="57" spans="1:13" customFormat="1" ht="18.75" x14ac:dyDescent="0.3">
      <c r="A57" s="151" t="s">
        <v>796</v>
      </c>
      <c r="B57" s="150">
        <v>8838432039</v>
      </c>
      <c r="C57" s="150" t="s">
        <v>737</v>
      </c>
      <c r="D57" s="150"/>
      <c r="E57" s="150">
        <v>1600</v>
      </c>
      <c r="F57" s="150" t="s">
        <v>812</v>
      </c>
      <c r="G57" s="150">
        <v>1600</v>
      </c>
      <c r="H57" s="150" t="s">
        <v>47</v>
      </c>
      <c r="I57" s="150"/>
      <c r="J57" s="3"/>
      <c r="K57" s="3"/>
      <c r="L57" s="4"/>
      <c r="M57" s="4"/>
    </row>
    <row r="58" spans="1:13" customFormat="1" ht="18.75" x14ac:dyDescent="0.3">
      <c r="A58" s="151" t="s">
        <v>738</v>
      </c>
      <c r="B58" s="150">
        <v>9629322643</v>
      </c>
      <c r="C58" s="150" t="s">
        <v>737</v>
      </c>
      <c r="D58" s="150"/>
      <c r="E58" s="150">
        <v>2200</v>
      </c>
      <c r="F58" s="150" t="s">
        <v>806</v>
      </c>
      <c r="G58" s="150">
        <v>2000</v>
      </c>
      <c r="H58" s="150" t="s">
        <v>439</v>
      </c>
      <c r="I58" s="150"/>
      <c r="J58" s="3"/>
      <c r="K58" s="3"/>
      <c r="L58" s="4"/>
      <c r="M58" s="4"/>
    </row>
    <row r="59" spans="1:13" s="164" customFormat="1" ht="17.25" x14ac:dyDescent="0.3">
      <c r="A59" s="148" t="s">
        <v>739</v>
      </c>
      <c r="B59" s="153">
        <v>9159410903</v>
      </c>
      <c r="C59" s="153" t="s">
        <v>740</v>
      </c>
      <c r="D59" s="153"/>
      <c r="E59" s="153">
        <v>2750</v>
      </c>
      <c r="F59" s="153" t="s">
        <v>812</v>
      </c>
      <c r="G59" s="153"/>
      <c r="H59" s="153"/>
      <c r="I59" s="153" t="s">
        <v>824</v>
      </c>
      <c r="J59" s="148"/>
      <c r="K59" s="148"/>
      <c r="L59" s="148"/>
      <c r="M59" s="148"/>
    </row>
    <row r="60" spans="1:13" s="165" customFormat="1" ht="17.25" x14ac:dyDescent="0.3">
      <c r="A60" s="157" t="s">
        <v>845</v>
      </c>
      <c r="B60" s="152">
        <v>9095407562</v>
      </c>
      <c r="C60" s="152" t="s">
        <v>747</v>
      </c>
      <c r="D60" s="152"/>
      <c r="E60" s="152">
        <v>2000</v>
      </c>
      <c r="F60" s="152" t="s">
        <v>854</v>
      </c>
      <c r="G60" s="152">
        <v>2000</v>
      </c>
      <c r="H60" s="152" t="s">
        <v>47</v>
      </c>
      <c r="I60" s="152"/>
      <c r="J60" s="157"/>
      <c r="K60" s="157"/>
      <c r="L60" s="157"/>
      <c r="M60" s="157"/>
    </row>
    <row r="61" spans="1:13" ht="17.25" x14ac:dyDescent="0.3">
      <c r="A61" s="151" t="s">
        <v>750</v>
      </c>
      <c r="B61" s="150">
        <v>6379860168</v>
      </c>
      <c r="C61" s="150" t="s">
        <v>747</v>
      </c>
      <c r="D61" s="150">
        <v>14000</v>
      </c>
      <c r="E61" s="150">
        <v>1700</v>
      </c>
      <c r="F61" s="150" t="s">
        <v>854</v>
      </c>
      <c r="G61" s="150">
        <v>1600</v>
      </c>
      <c r="H61" s="150"/>
      <c r="I61" s="150"/>
      <c r="J61" s="151"/>
      <c r="K61" s="151"/>
      <c r="L61" s="151"/>
      <c r="M61" s="151"/>
    </row>
    <row r="62" spans="1:13" ht="17.25" x14ac:dyDescent="0.3">
      <c r="A62" s="151" t="s">
        <v>764</v>
      </c>
      <c r="B62" s="150"/>
      <c r="C62" s="150" t="s">
        <v>753</v>
      </c>
      <c r="D62" s="150"/>
      <c r="E62" s="150">
        <v>20700</v>
      </c>
      <c r="F62" s="196">
        <v>46206</v>
      </c>
      <c r="G62" s="150">
        <v>21400</v>
      </c>
      <c r="H62" s="150" t="s">
        <v>47</v>
      </c>
      <c r="I62" s="150"/>
      <c r="J62" s="151"/>
      <c r="K62" s="151"/>
      <c r="L62" s="151"/>
      <c r="M62" s="151"/>
    </row>
    <row r="63" spans="1:13" s="35" customFormat="1" ht="18.75" x14ac:dyDescent="0.3">
      <c r="A63" s="174" t="s">
        <v>768</v>
      </c>
      <c r="B63" s="155"/>
      <c r="C63" s="155" t="s">
        <v>769</v>
      </c>
      <c r="D63" s="155"/>
      <c r="E63" s="155">
        <v>2000</v>
      </c>
      <c r="F63" s="155" t="s">
        <v>769</v>
      </c>
      <c r="G63" s="155">
        <v>2200</v>
      </c>
      <c r="H63" s="155" t="s">
        <v>772</v>
      </c>
      <c r="I63" s="155"/>
      <c r="J63" s="39"/>
      <c r="K63" s="39"/>
      <c r="L63" s="142"/>
      <c r="M63" s="142"/>
    </row>
    <row r="64" spans="1:13" customFormat="1" ht="18.75" x14ac:dyDescent="0.3">
      <c r="A64" s="151" t="s">
        <v>776</v>
      </c>
      <c r="B64" s="150">
        <v>8072415824</v>
      </c>
      <c r="C64" s="150" t="s">
        <v>775</v>
      </c>
      <c r="D64" s="150"/>
      <c r="E64" s="150">
        <v>4200</v>
      </c>
      <c r="F64" s="150" t="s">
        <v>775</v>
      </c>
      <c r="G64" s="150">
        <v>4200</v>
      </c>
      <c r="H64" s="150" t="s">
        <v>47</v>
      </c>
      <c r="I64" s="150"/>
      <c r="J64" s="3"/>
      <c r="K64" s="3"/>
      <c r="L64" s="4"/>
      <c r="M64" s="4"/>
    </row>
    <row r="65" spans="1:13" s="25" customFormat="1" ht="18.75" x14ac:dyDescent="0.3">
      <c r="A65" s="148" t="s">
        <v>777</v>
      </c>
      <c r="B65" s="153"/>
      <c r="C65" s="153" t="s">
        <v>775</v>
      </c>
      <c r="D65" s="153"/>
      <c r="E65" s="153">
        <v>8400</v>
      </c>
      <c r="F65" s="153" t="s">
        <v>805</v>
      </c>
      <c r="G65" s="153">
        <v>8400</v>
      </c>
      <c r="H65" s="153"/>
      <c r="I65" s="153" t="s">
        <v>811</v>
      </c>
      <c r="J65" s="57"/>
      <c r="K65" s="57"/>
      <c r="L65" s="141"/>
      <c r="M65" s="141"/>
    </row>
    <row r="66" spans="1:13" customFormat="1" ht="18.75" x14ac:dyDescent="0.3">
      <c r="A66" s="151" t="s">
        <v>778</v>
      </c>
      <c r="B66" s="150">
        <v>8015021074</v>
      </c>
      <c r="C66" s="150" t="s">
        <v>779</v>
      </c>
      <c r="D66" s="150"/>
      <c r="E66" s="150">
        <v>2000</v>
      </c>
      <c r="F66" s="150" t="s">
        <v>813</v>
      </c>
      <c r="G66" s="150">
        <v>2000</v>
      </c>
      <c r="H66" s="150" t="s">
        <v>439</v>
      </c>
      <c r="I66" s="150"/>
      <c r="J66" s="3"/>
      <c r="K66" s="3"/>
      <c r="L66" s="4"/>
      <c r="M66" s="4"/>
    </row>
    <row r="67" spans="1:13" customFormat="1" ht="18.75" x14ac:dyDescent="0.3">
      <c r="A67" s="151" t="s">
        <v>782</v>
      </c>
      <c r="B67" s="150">
        <v>9489210061</v>
      </c>
      <c r="C67" s="150" t="s">
        <v>613</v>
      </c>
      <c r="D67" s="150"/>
      <c r="E67" s="150">
        <v>3500</v>
      </c>
      <c r="F67" s="150" t="s">
        <v>771</v>
      </c>
      <c r="G67" s="150">
        <v>3650</v>
      </c>
      <c r="H67" s="150" t="s">
        <v>320</v>
      </c>
      <c r="I67" s="150"/>
      <c r="J67" s="3"/>
      <c r="K67" s="3"/>
      <c r="L67" s="4"/>
      <c r="M67" s="4"/>
    </row>
    <row r="68" spans="1:13" customFormat="1" ht="18.75" x14ac:dyDescent="0.3">
      <c r="A68" s="151" t="s">
        <v>787</v>
      </c>
      <c r="B68" s="150">
        <v>9500112451</v>
      </c>
      <c r="C68" s="150" t="s">
        <v>788</v>
      </c>
      <c r="D68" s="150"/>
      <c r="E68" s="150">
        <v>2300</v>
      </c>
      <c r="F68" s="150" t="s">
        <v>807</v>
      </c>
      <c r="G68" s="150">
        <v>2300</v>
      </c>
      <c r="H68" s="150" t="s">
        <v>47</v>
      </c>
      <c r="I68" s="150"/>
      <c r="J68" s="3"/>
      <c r="K68" s="3"/>
      <c r="L68" s="4"/>
      <c r="M68" s="4"/>
    </row>
    <row r="69" spans="1:13" s="25" customFormat="1" ht="18.75" x14ac:dyDescent="0.3">
      <c r="A69" s="148" t="s">
        <v>789</v>
      </c>
      <c r="B69" s="153">
        <v>8667402651</v>
      </c>
      <c r="C69" s="153" t="s">
        <v>790</v>
      </c>
      <c r="D69" s="153"/>
      <c r="E69" s="153">
        <v>2700</v>
      </c>
      <c r="F69" s="153"/>
      <c r="G69" s="153">
        <v>2700</v>
      </c>
      <c r="H69" s="153" t="s">
        <v>439</v>
      </c>
      <c r="I69" s="153" t="s">
        <v>811</v>
      </c>
      <c r="J69" s="57"/>
      <c r="K69" s="57"/>
      <c r="L69" s="141"/>
      <c r="M69" s="141"/>
    </row>
    <row r="70" spans="1:13" ht="17.25" x14ac:dyDescent="0.3">
      <c r="A70" s="151" t="s">
        <v>866</v>
      </c>
      <c r="B70" s="150">
        <v>9840982094</v>
      </c>
      <c r="C70" s="150" t="s">
        <v>790</v>
      </c>
      <c r="D70" s="150">
        <v>78000</v>
      </c>
      <c r="E70" s="150">
        <v>3500</v>
      </c>
      <c r="F70" s="150">
        <v>3500</v>
      </c>
      <c r="G70" s="150"/>
      <c r="H70" s="150"/>
      <c r="I70" s="150"/>
      <c r="J70" s="151"/>
      <c r="K70" s="151"/>
      <c r="L70" s="151"/>
      <c r="M70" s="151"/>
    </row>
    <row r="71" spans="1:13" customFormat="1" ht="18.75" x14ac:dyDescent="0.3">
      <c r="A71" s="151" t="s">
        <v>867</v>
      </c>
      <c r="B71" s="150"/>
      <c r="C71" s="150" t="s">
        <v>790</v>
      </c>
      <c r="D71" s="150"/>
      <c r="E71" s="150">
        <v>7200</v>
      </c>
      <c r="F71" s="150">
        <v>6800</v>
      </c>
      <c r="G71" s="150">
        <v>90000</v>
      </c>
      <c r="H71" s="150" t="s">
        <v>47</v>
      </c>
      <c r="I71" s="150"/>
      <c r="J71" s="3"/>
      <c r="K71" s="3"/>
      <c r="L71" s="4"/>
      <c r="M71" s="4"/>
    </row>
    <row r="72" spans="1:13" ht="17.25" x14ac:dyDescent="0.3">
      <c r="A72" s="150" t="s">
        <v>825</v>
      </c>
      <c r="B72" s="150"/>
      <c r="C72" s="150" t="s">
        <v>826</v>
      </c>
      <c r="D72" s="150"/>
      <c r="E72" s="150">
        <v>3500</v>
      </c>
      <c r="F72" s="150">
        <v>1750</v>
      </c>
      <c r="G72" s="150"/>
      <c r="H72" s="150"/>
      <c r="I72" s="150"/>
      <c r="J72" s="151"/>
      <c r="K72" s="151"/>
      <c r="L72" s="151"/>
      <c r="M72" s="151"/>
    </row>
    <row r="73" spans="1:13" customFormat="1" ht="18.75" x14ac:dyDescent="0.3">
      <c r="A73" s="151" t="s">
        <v>792</v>
      </c>
      <c r="B73" s="150">
        <v>9952971431</v>
      </c>
      <c r="C73" s="150" t="s">
        <v>793</v>
      </c>
      <c r="D73" s="150">
        <v>25000</v>
      </c>
      <c r="E73" s="150">
        <v>2500</v>
      </c>
      <c r="F73" s="150"/>
      <c r="G73" s="150">
        <v>27500</v>
      </c>
      <c r="H73" s="150" t="s">
        <v>439</v>
      </c>
      <c r="I73" s="150"/>
      <c r="J73" s="3"/>
      <c r="K73" s="3"/>
      <c r="L73" s="4"/>
      <c r="M73" s="4"/>
    </row>
    <row r="74" spans="1:13" customFormat="1" ht="18.75" x14ac:dyDescent="0.3">
      <c r="A74" s="151" t="s">
        <v>810</v>
      </c>
      <c r="B74" s="150">
        <v>8119023887</v>
      </c>
      <c r="C74" s="150" t="s">
        <v>808</v>
      </c>
      <c r="D74" s="150">
        <v>5000</v>
      </c>
      <c r="E74" s="150">
        <v>1500</v>
      </c>
      <c r="F74" s="150"/>
      <c r="G74" s="150">
        <v>6600</v>
      </c>
      <c r="H74" s="150" t="s">
        <v>47</v>
      </c>
      <c r="I74" s="150"/>
      <c r="J74" s="3"/>
      <c r="K74" s="3"/>
      <c r="L74" s="4"/>
      <c r="M74" s="4"/>
    </row>
    <row r="75" spans="1:13" ht="17.25" x14ac:dyDescent="0.3">
      <c r="A75" s="151" t="s">
        <v>855</v>
      </c>
      <c r="B75" s="150">
        <v>9095418342</v>
      </c>
      <c r="C75" s="150" t="s">
        <v>826</v>
      </c>
      <c r="D75" s="150"/>
      <c r="E75" s="150">
        <v>1500</v>
      </c>
      <c r="F75" s="150" t="s">
        <v>826</v>
      </c>
      <c r="G75" s="150">
        <v>1500</v>
      </c>
      <c r="H75" s="150"/>
      <c r="I75" s="150"/>
      <c r="J75" s="151"/>
      <c r="K75" s="151"/>
      <c r="L75" s="151"/>
      <c r="M75" s="151"/>
    </row>
    <row r="76" spans="1:13" ht="17.25" x14ac:dyDescent="0.3">
      <c r="A76" s="151" t="s">
        <v>858</v>
      </c>
      <c r="B76" s="150">
        <v>6379753225</v>
      </c>
      <c r="C76" s="150" t="s">
        <v>859</v>
      </c>
      <c r="D76" s="150">
        <v>20300</v>
      </c>
      <c r="E76" s="150">
        <v>4700</v>
      </c>
      <c r="F76" s="150" t="s">
        <v>859</v>
      </c>
      <c r="G76" s="150">
        <v>25000</v>
      </c>
      <c r="H76" s="150"/>
      <c r="I76" s="150"/>
      <c r="J76" s="151"/>
      <c r="K76" s="151"/>
      <c r="L76" s="151"/>
      <c r="M76" s="151"/>
    </row>
    <row r="77" spans="1:13" ht="17.25" x14ac:dyDescent="0.3">
      <c r="A77" s="151"/>
      <c r="B77" s="150"/>
      <c r="C77" s="150"/>
      <c r="D77" s="150"/>
      <c r="E77" s="150"/>
      <c r="F77" s="150"/>
      <c r="G77" s="150"/>
      <c r="H77" s="150"/>
      <c r="I77" s="150"/>
      <c r="J77" s="151"/>
      <c r="K77" s="151"/>
      <c r="L77" s="151"/>
      <c r="M77" s="151"/>
    </row>
    <row r="78" spans="1:13" ht="17.25" x14ac:dyDescent="0.3">
      <c r="A78" s="151"/>
      <c r="B78" s="150"/>
      <c r="C78" s="150"/>
      <c r="D78" s="150"/>
      <c r="E78" s="150"/>
      <c r="F78" s="150"/>
      <c r="H78" s="150"/>
      <c r="I78" s="150"/>
      <c r="J78" s="151"/>
      <c r="K78" s="151"/>
      <c r="L78" s="151"/>
      <c r="M78" s="151"/>
    </row>
    <row r="79" spans="1:13" ht="17.25" x14ac:dyDescent="0.3">
      <c r="A79" s="151"/>
      <c r="B79" s="150"/>
      <c r="C79" s="150"/>
      <c r="D79" s="150"/>
      <c r="E79" s="150"/>
      <c r="F79" s="150"/>
      <c r="G79" s="150"/>
      <c r="H79" s="150"/>
      <c r="I79" s="150"/>
      <c r="J79" s="151"/>
      <c r="K79" s="151"/>
      <c r="L79" s="151"/>
      <c r="M79" s="151"/>
    </row>
    <row r="80" spans="1:13" ht="17.25" x14ac:dyDescent="0.3">
      <c r="A80" s="151"/>
      <c r="B80" s="150"/>
      <c r="C80" s="150"/>
      <c r="D80" s="150"/>
      <c r="E80" s="150"/>
      <c r="F80" s="150"/>
      <c r="G80" s="150"/>
      <c r="H80" s="150"/>
      <c r="I80" s="150"/>
      <c r="J80" s="151"/>
      <c r="K80" s="151"/>
      <c r="L80" s="151"/>
      <c r="M80" s="151"/>
    </row>
    <row r="81" spans="1:13" ht="17.25" x14ac:dyDescent="0.3">
      <c r="A81" s="151"/>
      <c r="B81" s="150"/>
      <c r="C81" s="150"/>
      <c r="D81" s="150"/>
      <c r="E81" s="150"/>
      <c r="F81" s="150"/>
      <c r="G81" s="150"/>
      <c r="H81" s="150"/>
      <c r="I81" s="150"/>
      <c r="J81" s="151"/>
      <c r="K81" s="151"/>
      <c r="L81" s="151"/>
      <c r="M81" s="151"/>
    </row>
    <row r="82" spans="1:13" ht="17.25" x14ac:dyDescent="0.3">
      <c r="A82" s="151"/>
      <c r="B82" s="150"/>
      <c r="C82" s="150"/>
      <c r="D82" s="150"/>
      <c r="E82" s="150"/>
      <c r="F82" s="150"/>
      <c r="G82" s="147"/>
      <c r="H82" s="150"/>
      <c r="I82" s="150"/>
      <c r="J82" s="151"/>
      <c r="K82" s="151"/>
      <c r="L82" s="151"/>
      <c r="M82" s="151"/>
    </row>
    <row r="83" spans="1:13" ht="17.25" x14ac:dyDescent="0.3">
      <c r="A83" s="151"/>
      <c r="B83" s="150"/>
      <c r="C83" s="150"/>
      <c r="D83" s="150"/>
      <c r="E83" s="150"/>
      <c r="F83" s="150"/>
      <c r="G83" s="150"/>
      <c r="H83" s="150"/>
      <c r="I83" s="150"/>
      <c r="J83" s="151"/>
      <c r="K83" s="151"/>
      <c r="L83" s="151"/>
      <c r="M83" s="151"/>
    </row>
    <row r="84" spans="1:13" ht="17.25" x14ac:dyDescent="0.3">
      <c r="A84" s="151"/>
      <c r="B84" s="150"/>
      <c r="C84" s="150"/>
      <c r="D84" s="150"/>
      <c r="E84" s="150"/>
      <c r="F84" s="150"/>
      <c r="G84" s="150"/>
      <c r="H84" s="150"/>
      <c r="I84" s="150"/>
      <c r="J84" s="151"/>
      <c r="K84" s="151"/>
      <c r="L84" s="151"/>
      <c r="M84" s="151"/>
    </row>
    <row r="85" spans="1:13" ht="17.25" x14ac:dyDescent="0.3">
      <c r="A85" s="166" t="s">
        <v>66</v>
      </c>
      <c r="B85" s="150"/>
      <c r="E85" s="150"/>
      <c r="F85" s="150"/>
      <c r="G85" s="150"/>
      <c r="H85" s="150"/>
      <c r="I85" s="150"/>
      <c r="J85" s="151"/>
      <c r="K85" s="151"/>
      <c r="L85" s="151"/>
      <c r="M85" s="151"/>
    </row>
    <row r="86" spans="1:13" s="159" customFormat="1" ht="17.25" x14ac:dyDescent="0.3">
      <c r="A86" s="143" t="s">
        <v>828</v>
      </c>
      <c r="B86" s="144" t="s">
        <v>829</v>
      </c>
      <c r="C86" s="144" t="s">
        <v>830</v>
      </c>
      <c r="D86" s="144"/>
      <c r="E86" s="144" t="s">
        <v>831</v>
      </c>
      <c r="F86" s="144" t="s">
        <v>817</v>
      </c>
      <c r="G86" s="144" t="s">
        <v>69</v>
      </c>
      <c r="H86" s="144" t="s">
        <v>834</v>
      </c>
      <c r="I86" s="144" t="s">
        <v>832</v>
      </c>
      <c r="J86" s="143" t="s">
        <v>833</v>
      </c>
      <c r="K86" s="143" t="s">
        <v>189</v>
      </c>
      <c r="L86" s="158"/>
      <c r="M86" s="158"/>
    </row>
    <row r="87" spans="1:13" ht="17.25" x14ac:dyDescent="0.3">
      <c r="A87" s="150" t="s">
        <v>187</v>
      </c>
      <c r="B87" s="150"/>
      <c r="C87" s="150"/>
      <c r="D87" s="150"/>
      <c r="E87" s="150">
        <v>172</v>
      </c>
      <c r="F87" s="150">
        <v>25600</v>
      </c>
      <c r="G87" s="150">
        <f t="shared" ref="G87:G111" si="0">F87*18%</f>
        <v>4608</v>
      </c>
      <c r="H87" s="150">
        <f t="shared" ref="H87:H111" si="1">F87+G87</f>
        <v>30208</v>
      </c>
      <c r="I87" s="150" t="s">
        <v>795</v>
      </c>
      <c r="J87" s="150">
        <v>30208</v>
      </c>
      <c r="K87" s="150" t="s">
        <v>190</v>
      </c>
      <c r="L87" s="167"/>
      <c r="M87" s="151"/>
    </row>
    <row r="88" spans="1:13" ht="17.25" x14ac:dyDescent="0.3">
      <c r="A88" s="150" t="s">
        <v>289</v>
      </c>
      <c r="B88" s="150"/>
      <c r="C88" s="150"/>
      <c r="D88" s="150"/>
      <c r="E88" s="150">
        <v>173</v>
      </c>
      <c r="F88" s="150">
        <v>49088</v>
      </c>
      <c r="G88" s="150">
        <f t="shared" si="0"/>
        <v>8835.84</v>
      </c>
      <c r="H88" s="150">
        <f t="shared" si="1"/>
        <v>57923.839999999997</v>
      </c>
      <c r="I88" s="150" t="s">
        <v>765</v>
      </c>
      <c r="J88" s="150">
        <v>49088</v>
      </c>
      <c r="K88" s="150" t="s">
        <v>192</v>
      </c>
      <c r="L88" s="167"/>
      <c r="M88" s="151"/>
    </row>
    <row r="89" spans="1:13" ht="17.25" x14ac:dyDescent="0.3">
      <c r="A89" s="150" t="s">
        <v>416</v>
      </c>
      <c r="B89" s="150"/>
      <c r="C89" s="150"/>
      <c r="D89" s="150"/>
      <c r="E89" s="150">
        <v>174</v>
      </c>
      <c r="F89" s="150">
        <v>14500</v>
      </c>
      <c r="G89" s="150">
        <f t="shared" si="0"/>
        <v>2610</v>
      </c>
      <c r="H89" s="150">
        <f t="shared" si="1"/>
        <v>17110</v>
      </c>
      <c r="I89" s="150" t="s">
        <v>775</v>
      </c>
      <c r="J89" s="150">
        <v>17110</v>
      </c>
      <c r="K89" s="150" t="s">
        <v>211</v>
      </c>
      <c r="L89" s="167"/>
      <c r="M89" s="151"/>
    </row>
    <row r="90" spans="1:13" ht="17.25" x14ac:dyDescent="0.3">
      <c r="A90" s="150" t="s">
        <v>409</v>
      </c>
      <c r="B90" s="150"/>
      <c r="C90" s="150"/>
      <c r="D90" s="150"/>
      <c r="E90" s="150">
        <v>175</v>
      </c>
      <c r="F90" s="150">
        <v>41469</v>
      </c>
      <c r="G90" s="150">
        <f t="shared" si="0"/>
        <v>7464.42</v>
      </c>
      <c r="H90" s="150">
        <f t="shared" si="1"/>
        <v>48933.42</v>
      </c>
      <c r="I90" s="150"/>
      <c r="J90" s="150"/>
      <c r="K90" s="150" t="s">
        <v>233</v>
      </c>
      <c r="L90" s="167"/>
      <c r="M90" s="151"/>
    </row>
    <row r="91" spans="1:13" ht="17.25" x14ac:dyDescent="0.3">
      <c r="A91" s="150" t="s">
        <v>341</v>
      </c>
      <c r="B91" s="150"/>
      <c r="C91" s="150"/>
      <c r="D91" s="150"/>
      <c r="E91" s="150">
        <v>176</v>
      </c>
      <c r="F91" s="150">
        <v>10000</v>
      </c>
      <c r="G91" s="150">
        <f t="shared" si="0"/>
        <v>1800</v>
      </c>
      <c r="H91" s="150">
        <f t="shared" si="1"/>
        <v>11800</v>
      </c>
      <c r="I91" s="150"/>
      <c r="J91" s="150"/>
      <c r="K91" s="150" t="s">
        <v>191</v>
      </c>
      <c r="L91" s="167"/>
      <c r="M91" s="151"/>
    </row>
    <row r="92" spans="1:13" ht="17.25" x14ac:dyDescent="0.3">
      <c r="A92" s="150" t="s">
        <v>70</v>
      </c>
      <c r="B92" s="150"/>
      <c r="C92" s="150"/>
      <c r="D92" s="150"/>
      <c r="E92" s="150">
        <v>177</v>
      </c>
      <c r="F92" s="150">
        <v>5600</v>
      </c>
      <c r="G92" s="150">
        <f t="shared" si="0"/>
        <v>1008</v>
      </c>
      <c r="H92" s="150">
        <f t="shared" si="1"/>
        <v>6608</v>
      </c>
      <c r="I92" s="150"/>
      <c r="J92" s="150"/>
      <c r="K92" s="150" t="s">
        <v>213</v>
      </c>
      <c r="L92" s="167"/>
      <c r="M92" s="151"/>
    </row>
    <row r="93" spans="1:13" ht="17.25" x14ac:dyDescent="0.3">
      <c r="A93" s="150" t="s">
        <v>459</v>
      </c>
      <c r="B93" s="150"/>
      <c r="C93" s="150"/>
      <c r="D93" s="150"/>
      <c r="E93" s="150">
        <v>178</v>
      </c>
      <c r="F93" s="150">
        <v>2000</v>
      </c>
      <c r="G93" s="150">
        <f t="shared" si="0"/>
        <v>360</v>
      </c>
      <c r="H93" s="150">
        <f t="shared" si="1"/>
        <v>2360</v>
      </c>
      <c r="I93" s="150"/>
      <c r="J93" s="150"/>
      <c r="K93" s="150" t="s">
        <v>467</v>
      </c>
      <c r="L93" s="167"/>
      <c r="M93" s="151"/>
    </row>
    <row r="94" spans="1:13" ht="17.25" x14ac:dyDescent="0.3">
      <c r="A94" s="150" t="s">
        <v>406</v>
      </c>
      <c r="B94" s="150">
        <v>8428000331</v>
      </c>
      <c r="C94" s="150"/>
      <c r="D94" s="150"/>
      <c r="E94" s="150">
        <v>179</v>
      </c>
      <c r="F94" s="150">
        <v>22400</v>
      </c>
      <c r="G94" s="150">
        <f t="shared" si="0"/>
        <v>4032</v>
      </c>
      <c r="H94" s="150">
        <f t="shared" si="1"/>
        <v>26432</v>
      </c>
      <c r="I94" s="196">
        <v>46115</v>
      </c>
      <c r="J94" s="150"/>
      <c r="K94" s="150" t="s">
        <v>413</v>
      </c>
      <c r="L94" s="167"/>
      <c r="M94" s="151"/>
    </row>
    <row r="95" spans="1:13" ht="17.25" x14ac:dyDescent="0.3">
      <c r="A95" s="150" t="s">
        <v>434</v>
      </c>
      <c r="B95" s="150"/>
      <c r="C95" s="150"/>
      <c r="D95" s="150"/>
      <c r="E95" s="150">
        <v>180</v>
      </c>
      <c r="F95" s="150">
        <v>17081</v>
      </c>
      <c r="G95" s="150">
        <f t="shared" si="0"/>
        <v>3074.58</v>
      </c>
      <c r="H95" s="150">
        <f t="shared" si="1"/>
        <v>20155.580000000002</v>
      </c>
      <c r="I95" s="150" t="s">
        <v>797</v>
      </c>
      <c r="J95" s="150">
        <v>17081</v>
      </c>
      <c r="K95" s="150" t="s">
        <v>335</v>
      </c>
      <c r="L95" s="167"/>
      <c r="M95" s="151"/>
    </row>
    <row r="96" spans="1:13" ht="17.25" x14ac:dyDescent="0.3">
      <c r="A96" s="150" t="s">
        <v>701</v>
      </c>
      <c r="B96" s="150">
        <v>7794025725</v>
      </c>
      <c r="C96" s="150"/>
      <c r="D96" s="150"/>
      <c r="E96" s="150">
        <v>181</v>
      </c>
      <c r="F96" s="150">
        <v>17300</v>
      </c>
      <c r="G96" s="150">
        <f t="shared" si="0"/>
        <v>3114</v>
      </c>
      <c r="H96" s="150">
        <f t="shared" si="1"/>
        <v>20414</v>
      </c>
      <c r="I96" s="150"/>
      <c r="J96" s="150"/>
      <c r="K96" s="150" t="s">
        <v>755</v>
      </c>
      <c r="L96" s="167"/>
      <c r="M96" s="151"/>
    </row>
    <row r="97" spans="1:13" ht="17.25" x14ac:dyDescent="0.3">
      <c r="A97" s="150" t="s">
        <v>709</v>
      </c>
      <c r="B97" s="150">
        <v>9043035545</v>
      </c>
      <c r="C97" s="150" t="s">
        <v>707</v>
      </c>
      <c r="D97" s="150"/>
      <c r="E97" s="150">
        <v>182</v>
      </c>
      <c r="F97" s="150">
        <v>16000</v>
      </c>
      <c r="G97" s="150">
        <f t="shared" si="0"/>
        <v>2880</v>
      </c>
      <c r="H97" s="150">
        <f t="shared" si="1"/>
        <v>18880</v>
      </c>
      <c r="I97" s="150"/>
      <c r="J97" s="150"/>
      <c r="K97" s="150" t="s">
        <v>756</v>
      </c>
      <c r="L97" s="167"/>
      <c r="M97" s="151"/>
    </row>
    <row r="98" spans="1:13" ht="17.25" x14ac:dyDescent="0.3">
      <c r="A98" s="150" t="s">
        <v>604</v>
      </c>
      <c r="B98" s="150">
        <v>9442130825</v>
      </c>
      <c r="C98" s="150" t="s">
        <v>707</v>
      </c>
      <c r="D98" s="150"/>
      <c r="E98" s="150">
        <v>183</v>
      </c>
      <c r="F98" s="150">
        <v>12500</v>
      </c>
      <c r="G98" s="150">
        <f t="shared" si="0"/>
        <v>2250</v>
      </c>
      <c r="H98" s="150">
        <f t="shared" si="1"/>
        <v>14750</v>
      </c>
      <c r="I98" s="150" t="s">
        <v>808</v>
      </c>
      <c r="J98" s="150">
        <v>14750</v>
      </c>
      <c r="K98" s="150" t="s">
        <v>651</v>
      </c>
      <c r="L98" s="167"/>
      <c r="M98" s="151"/>
    </row>
    <row r="99" spans="1:13" ht="17.25" x14ac:dyDescent="0.3">
      <c r="A99" s="150" t="s">
        <v>840</v>
      </c>
      <c r="B99" s="150"/>
      <c r="C99" s="150" t="s">
        <v>795</v>
      </c>
      <c r="D99" s="150"/>
      <c r="E99" s="150">
        <v>184</v>
      </c>
      <c r="F99" s="150">
        <v>69550</v>
      </c>
      <c r="G99" s="150">
        <f t="shared" si="0"/>
        <v>12519</v>
      </c>
      <c r="H99" s="150">
        <f t="shared" si="1"/>
        <v>82069</v>
      </c>
      <c r="I99" s="150"/>
      <c r="J99" s="150"/>
      <c r="K99" s="150" t="s">
        <v>410</v>
      </c>
      <c r="L99" s="167"/>
      <c r="M99" s="151"/>
    </row>
    <row r="100" spans="1:13" ht="17.25" x14ac:dyDescent="0.3">
      <c r="A100" s="150" t="s">
        <v>835</v>
      </c>
      <c r="B100" s="150"/>
      <c r="C100" s="150" t="s">
        <v>795</v>
      </c>
      <c r="D100" s="150"/>
      <c r="E100" s="150">
        <v>185</v>
      </c>
      <c r="F100" s="150">
        <v>10000</v>
      </c>
      <c r="G100" s="150">
        <f t="shared" si="0"/>
        <v>1800</v>
      </c>
      <c r="H100" s="150">
        <f t="shared" si="1"/>
        <v>11800</v>
      </c>
      <c r="I100" s="150"/>
      <c r="J100" s="150"/>
      <c r="K100" s="150"/>
      <c r="L100" s="167"/>
      <c r="M100" s="151"/>
    </row>
    <row r="101" spans="1:13" ht="17.25" x14ac:dyDescent="0.3">
      <c r="A101" s="150" t="s">
        <v>838</v>
      </c>
      <c r="B101" s="150"/>
      <c r="C101" s="150"/>
      <c r="D101" s="150"/>
      <c r="E101" s="150">
        <v>186</v>
      </c>
      <c r="F101" s="150">
        <v>109598</v>
      </c>
      <c r="G101" s="150">
        <f t="shared" si="0"/>
        <v>19727.64</v>
      </c>
      <c r="H101" s="150">
        <f t="shared" si="1"/>
        <v>129325.64</v>
      </c>
      <c r="I101" s="150"/>
      <c r="J101" s="150"/>
      <c r="K101" s="150"/>
      <c r="L101" s="167"/>
      <c r="M101" s="151"/>
    </row>
    <row r="102" spans="1:13" ht="17.25" x14ac:dyDescent="0.3">
      <c r="A102" s="150" t="s">
        <v>838</v>
      </c>
      <c r="B102" s="150"/>
      <c r="C102" s="150"/>
      <c r="D102" s="150"/>
      <c r="E102" s="150">
        <v>187</v>
      </c>
      <c r="F102" s="150">
        <v>12500</v>
      </c>
      <c r="G102" s="150">
        <f t="shared" si="0"/>
        <v>2250</v>
      </c>
      <c r="H102" s="150">
        <f t="shared" si="1"/>
        <v>14750</v>
      </c>
      <c r="I102" s="150"/>
      <c r="J102" s="150"/>
      <c r="K102" s="150"/>
      <c r="L102" s="167"/>
      <c r="M102" s="151"/>
    </row>
    <row r="103" spans="1:13" ht="17.25" x14ac:dyDescent="0.3">
      <c r="A103" s="150" t="s">
        <v>839</v>
      </c>
      <c r="B103" s="150">
        <v>7358293699</v>
      </c>
      <c r="C103" s="150"/>
      <c r="D103" s="150"/>
      <c r="E103" s="150">
        <v>188</v>
      </c>
      <c r="F103" s="150">
        <v>1000</v>
      </c>
      <c r="G103" s="150">
        <f t="shared" si="0"/>
        <v>180</v>
      </c>
      <c r="H103" s="150">
        <f t="shared" si="1"/>
        <v>1180</v>
      </c>
      <c r="I103" s="150"/>
      <c r="J103" s="150"/>
      <c r="K103" s="150"/>
      <c r="L103" s="167"/>
      <c r="M103" s="151"/>
    </row>
    <row r="104" spans="1:13" ht="17.25" x14ac:dyDescent="0.3">
      <c r="A104" s="150" t="s">
        <v>837</v>
      </c>
      <c r="B104" s="150"/>
      <c r="C104" s="150"/>
      <c r="D104" s="150"/>
      <c r="E104" s="150">
        <v>189</v>
      </c>
      <c r="F104" s="150">
        <v>3375</v>
      </c>
      <c r="G104" s="150">
        <f t="shared" si="0"/>
        <v>607.5</v>
      </c>
      <c r="H104" s="150">
        <f t="shared" si="1"/>
        <v>3982.5</v>
      </c>
      <c r="I104" s="150"/>
      <c r="J104" s="150"/>
      <c r="K104" s="150"/>
      <c r="L104" s="167"/>
      <c r="M104" s="151"/>
    </row>
    <row r="105" spans="1:13" ht="17.25" x14ac:dyDescent="0.3">
      <c r="A105" s="150" t="s">
        <v>745</v>
      </c>
      <c r="B105" s="150"/>
      <c r="C105" s="150" t="s">
        <v>853</v>
      </c>
      <c r="D105" s="150"/>
      <c r="E105" s="150">
        <v>190</v>
      </c>
      <c r="F105" s="150">
        <v>22500</v>
      </c>
      <c r="G105" s="150">
        <f t="shared" si="0"/>
        <v>4050</v>
      </c>
      <c r="H105" s="150">
        <f t="shared" si="1"/>
        <v>26550</v>
      </c>
      <c r="I105" s="150"/>
      <c r="J105" s="150"/>
      <c r="K105" s="150"/>
      <c r="L105" s="167"/>
      <c r="M105" s="151"/>
    </row>
    <row r="106" spans="1:13" ht="17.25" x14ac:dyDescent="0.3">
      <c r="A106" s="150" t="s">
        <v>405</v>
      </c>
      <c r="B106" s="150"/>
      <c r="C106" s="150" t="s">
        <v>852</v>
      </c>
      <c r="D106" s="150"/>
      <c r="E106" s="150">
        <v>191</v>
      </c>
      <c r="F106" s="150">
        <v>1400</v>
      </c>
      <c r="G106" s="150">
        <f t="shared" si="0"/>
        <v>252</v>
      </c>
      <c r="H106" s="150">
        <f t="shared" si="1"/>
        <v>1652</v>
      </c>
      <c r="I106" s="150"/>
      <c r="J106" s="150"/>
      <c r="K106" s="150" t="s">
        <v>333</v>
      </c>
      <c r="L106" s="167"/>
      <c r="M106" s="151"/>
    </row>
    <row r="107" spans="1:13" ht="17.25" x14ac:dyDescent="0.3">
      <c r="A107" s="150" t="s">
        <v>836</v>
      </c>
      <c r="B107" s="150"/>
      <c r="C107" s="150" t="s">
        <v>852</v>
      </c>
      <c r="D107" s="150"/>
      <c r="E107" s="150">
        <v>192</v>
      </c>
      <c r="F107" s="150">
        <v>36800</v>
      </c>
      <c r="G107" s="150">
        <f t="shared" si="0"/>
        <v>6624</v>
      </c>
      <c r="H107" s="150">
        <f t="shared" si="1"/>
        <v>43424</v>
      </c>
      <c r="I107" s="150"/>
      <c r="J107" s="150"/>
      <c r="K107" s="150"/>
      <c r="L107" s="167"/>
      <c r="M107" s="151"/>
    </row>
    <row r="108" spans="1:13" ht="17.25" x14ac:dyDescent="0.3">
      <c r="A108" s="150" t="s">
        <v>454</v>
      </c>
      <c r="B108" s="150"/>
      <c r="C108" s="150" t="s">
        <v>847</v>
      </c>
      <c r="D108" s="150"/>
      <c r="E108" s="150">
        <v>193</v>
      </c>
      <c r="F108" s="150">
        <v>2100</v>
      </c>
      <c r="G108" s="150">
        <f t="shared" si="0"/>
        <v>378</v>
      </c>
      <c r="H108" s="150">
        <f t="shared" si="1"/>
        <v>2478</v>
      </c>
      <c r="I108" s="150"/>
      <c r="J108" s="150"/>
      <c r="K108" s="150"/>
    </row>
    <row r="109" spans="1:13" ht="17.25" x14ac:dyDescent="0.3">
      <c r="A109" s="150" t="s">
        <v>520</v>
      </c>
      <c r="B109" s="150"/>
      <c r="C109" s="150" t="s">
        <v>846</v>
      </c>
      <c r="D109" s="150"/>
      <c r="E109" s="150">
        <v>194</v>
      </c>
      <c r="F109" s="150">
        <v>41746</v>
      </c>
      <c r="G109" s="150">
        <f t="shared" si="0"/>
        <v>7514.28</v>
      </c>
      <c r="H109" s="150">
        <f t="shared" si="1"/>
        <v>49260.28</v>
      </c>
      <c r="I109" s="150"/>
      <c r="J109" s="150"/>
      <c r="K109" s="150"/>
    </row>
    <row r="110" spans="1:13" ht="17.25" x14ac:dyDescent="0.3">
      <c r="A110" s="150" t="s">
        <v>850</v>
      </c>
      <c r="B110" s="150"/>
      <c r="C110" s="150" t="s">
        <v>851</v>
      </c>
      <c r="D110" s="150"/>
      <c r="E110" s="150">
        <v>195</v>
      </c>
      <c r="F110" s="150">
        <v>5200</v>
      </c>
      <c r="G110" s="150">
        <f t="shared" si="0"/>
        <v>936</v>
      </c>
      <c r="H110" s="150">
        <f t="shared" si="1"/>
        <v>6136</v>
      </c>
      <c r="I110" s="150"/>
      <c r="J110" s="150" t="s">
        <v>854</v>
      </c>
      <c r="K110" s="150"/>
    </row>
    <row r="111" spans="1:13" ht="17.25" x14ac:dyDescent="0.3">
      <c r="A111" s="150" t="s">
        <v>291</v>
      </c>
      <c r="B111" s="150"/>
      <c r="C111" s="150" t="s">
        <v>751</v>
      </c>
      <c r="D111" s="150"/>
      <c r="E111" s="150">
        <v>196</v>
      </c>
      <c r="F111" s="150">
        <v>2500</v>
      </c>
      <c r="G111" s="150">
        <f t="shared" si="0"/>
        <v>450</v>
      </c>
      <c r="H111" s="150">
        <f t="shared" si="1"/>
        <v>2950</v>
      </c>
      <c r="I111" s="168"/>
      <c r="J111" s="169"/>
      <c r="K111" s="168"/>
    </row>
    <row r="112" spans="1:13" ht="17.25" x14ac:dyDescent="0.3">
      <c r="A112" s="143" t="s">
        <v>828</v>
      </c>
      <c r="B112" s="144" t="s">
        <v>829</v>
      </c>
      <c r="C112" s="144" t="s">
        <v>830</v>
      </c>
      <c r="D112" s="144"/>
      <c r="E112" s="144" t="s">
        <v>831</v>
      </c>
      <c r="F112" s="144" t="s">
        <v>817</v>
      </c>
      <c r="G112" s="144" t="s">
        <v>69</v>
      </c>
      <c r="H112" s="144" t="s">
        <v>834</v>
      </c>
      <c r="I112" s="144" t="s">
        <v>832</v>
      </c>
      <c r="J112" s="143" t="s">
        <v>833</v>
      </c>
      <c r="K112" s="143" t="s">
        <v>189</v>
      </c>
    </row>
    <row r="113" spans="1:11" ht="17.25" x14ac:dyDescent="0.3">
      <c r="A113" s="170"/>
      <c r="B113" s="171"/>
      <c r="C113" s="168"/>
      <c r="D113" s="168"/>
      <c r="E113" s="168"/>
      <c r="F113" s="168"/>
      <c r="G113" s="168"/>
      <c r="H113" s="168"/>
      <c r="I113" s="168"/>
      <c r="J113" s="169"/>
      <c r="K113" s="168"/>
    </row>
  </sheetData>
  <autoFilter ref="A1:M76"/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zoomScaleNormal="100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A54" sqref="A54"/>
    </sheetView>
  </sheetViews>
  <sheetFormatPr defaultColWidth="9.1796875" defaultRowHeight="17" x14ac:dyDescent="0.4"/>
  <cols>
    <col min="1" max="1" width="52.1796875" style="162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9.1796875" style="172"/>
    <col min="6" max="6" width="13.81640625" style="172" bestFit="1" customWidth="1"/>
    <col min="7" max="7" width="14" style="172" customWidth="1"/>
    <col min="8" max="8" width="38.81640625" style="172" bestFit="1" customWidth="1"/>
    <col min="9" max="9" width="29.54296875" style="172" bestFit="1" customWidth="1"/>
    <col min="10" max="10" width="12.54296875" style="162" customWidth="1"/>
    <col min="11" max="11" width="17.54296875" style="162" bestFit="1" customWidth="1"/>
    <col min="12" max="12" width="9.1796875" style="162"/>
    <col min="13" max="13" width="20.1796875" style="162" bestFit="1" customWidth="1"/>
    <col min="14" max="16384" width="9.1796875" style="162"/>
  </cols>
  <sheetData>
    <row r="1" spans="1:15" s="159" customFormat="1" ht="17.25" x14ac:dyDescent="0.3">
      <c r="A1" s="144" t="s">
        <v>188</v>
      </c>
      <c r="B1" s="144" t="s">
        <v>815</v>
      </c>
      <c r="C1" s="144" t="s">
        <v>816</v>
      </c>
      <c r="D1" s="144" t="s">
        <v>891</v>
      </c>
      <c r="E1" s="144" t="s">
        <v>817</v>
      </c>
      <c r="F1" s="144" t="s">
        <v>923</v>
      </c>
      <c r="G1" s="144" t="s">
        <v>820</v>
      </c>
      <c r="H1" s="144" t="s">
        <v>901</v>
      </c>
      <c r="I1" s="144" t="s">
        <v>821</v>
      </c>
      <c r="J1" s="143" t="s">
        <v>872</v>
      </c>
      <c r="K1" s="143" t="s">
        <v>881</v>
      </c>
      <c r="L1" s="143" t="s">
        <v>878</v>
      </c>
      <c r="M1" s="143" t="s">
        <v>879</v>
      </c>
      <c r="N1" s="158" t="s">
        <v>899</v>
      </c>
      <c r="O1" s="158"/>
    </row>
    <row r="2" spans="1:15" customFormat="1" ht="18.75" x14ac:dyDescent="0.3">
      <c r="A2" s="151" t="s">
        <v>0</v>
      </c>
      <c r="B2" s="150">
        <v>7299917887</v>
      </c>
      <c r="C2" s="150" t="s">
        <v>860</v>
      </c>
      <c r="D2" s="150">
        <v>18300</v>
      </c>
      <c r="E2" s="150">
        <v>18300</v>
      </c>
      <c r="F2" s="150" t="s">
        <v>1003</v>
      </c>
      <c r="G2" s="173">
        <v>36600</v>
      </c>
      <c r="H2" s="150"/>
      <c r="I2" s="150"/>
      <c r="J2" s="3"/>
      <c r="K2" s="3"/>
      <c r="L2" s="4">
        <v>15</v>
      </c>
      <c r="M2" s="4" t="s">
        <v>895</v>
      </c>
      <c r="N2" s="4"/>
      <c r="O2" s="4"/>
    </row>
    <row r="3" spans="1:15" s="186" customFormat="1" ht="17.25" x14ac:dyDescent="0.3">
      <c r="A3" s="185" t="s">
        <v>36</v>
      </c>
      <c r="B3" s="182">
        <v>7904401435</v>
      </c>
      <c r="C3" s="182" t="s">
        <v>23</v>
      </c>
      <c r="D3" s="182"/>
      <c r="E3" s="182">
        <v>1750</v>
      </c>
      <c r="F3" s="182" t="s">
        <v>229</v>
      </c>
      <c r="G3" s="195">
        <v>1750</v>
      </c>
      <c r="H3" s="182"/>
      <c r="I3" s="181" t="s">
        <v>818</v>
      </c>
      <c r="J3" s="180"/>
      <c r="K3" s="185"/>
      <c r="L3" s="185">
        <v>1</v>
      </c>
      <c r="M3" s="55">
        <v>1750</v>
      </c>
      <c r="N3" s="185"/>
      <c r="O3" s="185"/>
    </row>
    <row r="4" spans="1:15" ht="17.25" x14ac:dyDescent="0.3">
      <c r="A4" s="149" t="s">
        <v>248</v>
      </c>
      <c r="B4" s="150">
        <v>7550283099</v>
      </c>
      <c r="C4" s="150" t="s">
        <v>44</v>
      </c>
      <c r="D4" s="150">
        <v>6850</v>
      </c>
      <c r="E4" s="150">
        <v>6800</v>
      </c>
      <c r="F4" s="196" t="s">
        <v>1005</v>
      </c>
      <c r="G4" s="147">
        <v>13700</v>
      </c>
      <c r="H4" s="150" t="s">
        <v>2</v>
      </c>
      <c r="I4" s="150" t="s">
        <v>1043</v>
      </c>
      <c r="J4" s="151"/>
      <c r="K4" s="151"/>
      <c r="L4" s="151">
        <v>4</v>
      </c>
      <c r="M4" s="4" t="s">
        <v>944</v>
      </c>
      <c r="N4" s="151"/>
      <c r="O4" s="151"/>
    </row>
    <row r="5" spans="1:15" customFormat="1" ht="18.75" x14ac:dyDescent="0.3">
      <c r="A5" s="149" t="s">
        <v>989</v>
      </c>
      <c r="B5" s="150"/>
      <c r="C5" s="150" t="s">
        <v>5</v>
      </c>
      <c r="D5" s="150"/>
      <c r="E5" s="152">
        <v>3000</v>
      </c>
      <c r="F5" s="196">
        <v>46298</v>
      </c>
      <c r="G5" s="147">
        <v>3000</v>
      </c>
      <c r="H5" s="150" t="s">
        <v>47</v>
      </c>
      <c r="I5" s="150"/>
      <c r="J5" s="3"/>
      <c r="K5" s="3"/>
      <c r="L5" s="4">
        <v>1</v>
      </c>
      <c r="M5" s="4">
        <v>3000</v>
      </c>
      <c r="N5" s="4"/>
      <c r="O5" s="4"/>
    </row>
    <row r="6" spans="1:15" customFormat="1" ht="18.75" x14ac:dyDescent="0.3">
      <c r="A6" s="149" t="s">
        <v>988</v>
      </c>
      <c r="B6" s="150">
        <v>7904622354</v>
      </c>
      <c r="C6" s="150" t="s">
        <v>46</v>
      </c>
      <c r="D6" s="150"/>
      <c r="E6" s="150">
        <v>3200</v>
      </c>
      <c r="F6" s="152"/>
      <c r="G6" s="150"/>
      <c r="H6" s="150"/>
      <c r="I6" s="150"/>
      <c r="J6" s="3"/>
      <c r="K6" s="3"/>
      <c r="L6" s="4">
        <v>1</v>
      </c>
      <c r="M6" s="4">
        <v>3000</v>
      </c>
      <c r="N6" s="4"/>
      <c r="O6" s="4"/>
    </row>
    <row r="7" spans="1:15" s="186" customFormat="1" ht="17.25" x14ac:dyDescent="0.3">
      <c r="A7" s="180" t="s">
        <v>60</v>
      </c>
      <c r="B7" s="182">
        <v>8925124442</v>
      </c>
      <c r="C7" s="187">
        <v>45661</v>
      </c>
      <c r="D7" s="182">
        <v>3500</v>
      </c>
      <c r="E7" s="182">
        <v>1500</v>
      </c>
      <c r="F7" s="182"/>
      <c r="G7" s="183"/>
      <c r="H7" s="182"/>
      <c r="I7" s="181"/>
      <c r="J7" s="184"/>
      <c r="K7" s="185"/>
      <c r="L7" s="185">
        <v>1</v>
      </c>
      <c r="M7" s="4">
        <v>1500</v>
      </c>
      <c r="N7" s="185"/>
      <c r="O7" s="185"/>
    </row>
    <row r="8" spans="1:15" ht="17.25" x14ac:dyDescent="0.3">
      <c r="A8" s="151" t="s">
        <v>223</v>
      </c>
      <c r="B8" s="150">
        <v>8148141825</v>
      </c>
      <c r="C8" s="150" t="s">
        <v>106</v>
      </c>
      <c r="D8" s="150"/>
      <c r="E8" s="182">
        <v>5000</v>
      </c>
      <c r="F8" s="152" t="s">
        <v>980</v>
      </c>
      <c r="G8" s="147">
        <v>5000</v>
      </c>
      <c r="H8" s="150" t="s">
        <v>47</v>
      </c>
      <c r="I8" s="150"/>
      <c r="J8" s="157"/>
      <c r="K8" s="151"/>
      <c r="L8" s="151">
        <v>3</v>
      </c>
      <c r="M8" s="4" t="s">
        <v>945</v>
      </c>
      <c r="N8" s="151"/>
      <c r="O8" s="151"/>
    </row>
    <row r="9" spans="1:15" customFormat="1" ht="18.75" x14ac:dyDescent="0.3">
      <c r="A9" s="151" t="s">
        <v>160</v>
      </c>
      <c r="B9" s="150">
        <v>8825663180</v>
      </c>
      <c r="C9" s="150" t="s">
        <v>161</v>
      </c>
      <c r="D9" s="150"/>
      <c r="E9" s="150">
        <v>1750</v>
      </c>
      <c r="F9" s="150" t="s">
        <v>962</v>
      </c>
      <c r="G9" s="147">
        <v>1750</v>
      </c>
      <c r="H9" s="150" t="s">
        <v>439</v>
      </c>
      <c r="I9" s="150"/>
      <c r="J9" s="3"/>
      <c r="K9" s="3"/>
      <c r="L9" s="151">
        <v>1</v>
      </c>
      <c r="M9" s="4">
        <v>1750</v>
      </c>
      <c r="N9" s="4"/>
      <c r="O9" s="4"/>
    </row>
    <row r="10" spans="1:15" customFormat="1" ht="18.75" x14ac:dyDescent="0.3">
      <c r="A10" s="151" t="s">
        <v>7</v>
      </c>
      <c r="B10" s="150">
        <v>9840168557</v>
      </c>
      <c r="C10" s="150" t="s">
        <v>208</v>
      </c>
      <c r="D10" s="150"/>
      <c r="E10" s="150">
        <v>4000</v>
      </c>
      <c r="F10" s="150" t="s">
        <v>980</v>
      </c>
      <c r="G10" s="147">
        <v>4000</v>
      </c>
      <c r="H10" s="150" t="s">
        <v>177</v>
      </c>
      <c r="I10" s="150"/>
      <c r="J10" s="3"/>
      <c r="K10" s="3"/>
      <c r="L10" s="4">
        <v>2</v>
      </c>
      <c r="M10" s="4">
        <v>2000</v>
      </c>
      <c r="N10" s="4"/>
      <c r="O10" s="4"/>
    </row>
    <row r="11" spans="1:15" ht="17.25" x14ac:dyDescent="0.3">
      <c r="A11" s="151" t="s">
        <v>266</v>
      </c>
      <c r="B11" s="150">
        <v>6385458304</v>
      </c>
      <c r="C11" s="150" t="s">
        <v>259</v>
      </c>
      <c r="D11" s="150">
        <v>2200</v>
      </c>
      <c r="E11" s="150">
        <v>2200</v>
      </c>
      <c r="F11" s="150" t="s">
        <v>1004</v>
      </c>
      <c r="G11" s="147">
        <v>4400</v>
      </c>
      <c r="H11" s="150" t="s">
        <v>439</v>
      </c>
      <c r="I11" s="175"/>
      <c r="J11" s="149"/>
      <c r="K11" s="151"/>
      <c r="L11" s="4">
        <v>1</v>
      </c>
      <c r="M11" s="4">
        <v>2200</v>
      </c>
      <c r="N11" s="151"/>
      <c r="O11" s="151"/>
    </row>
    <row r="12" spans="1:15" customFormat="1" ht="18.75" x14ac:dyDescent="0.3">
      <c r="A12" s="151" t="s">
        <v>987</v>
      </c>
      <c r="B12" s="150">
        <v>9791050538</v>
      </c>
      <c r="C12" s="150" t="s">
        <v>279</v>
      </c>
      <c r="D12" s="150"/>
      <c r="E12" s="150">
        <v>3400</v>
      </c>
      <c r="F12" s="196">
        <v>46329</v>
      </c>
      <c r="G12" s="147">
        <v>3400</v>
      </c>
      <c r="H12" s="150" t="s">
        <v>439</v>
      </c>
      <c r="I12" s="150"/>
      <c r="J12" s="139"/>
      <c r="K12" s="3"/>
      <c r="L12" s="4">
        <v>1</v>
      </c>
      <c r="M12" s="4">
        <v>3400</v>
      </c>
      <c r="N12" s="4"/>
      <c r="O12" s="4"/>
    </row>
    <row r="13" spans="1:15" s="161" customFormat="1" ht="17.25" x14ac:dyDescent="0.3">
      <c r="A13" s="145" t="s">
        <v>767</v>
      </c>
      <c r="B13" s="146">
        <v>8925023082</v>
      </c>
      <c r="C13" s="146" t="s">
        <v>294</v>
      </c>
      <c r="D13" s="146"/>
      <c r="E13" s="146">
        <v>14700</v>
      </c>
      <c r="F13" s="146"/>
      <c r="G13" s="146"/>
      <c r="H13" s="146"/>
      <c r="I13" s="146" t="s">
        <v>822</v>
      </c>
      <c r="J13" s="163"/>
      <c r="K13" s="145"/>
      <c r="L13" s="145">
        <v>8</v>
      </c>
      <c r="M13" s="4">
        <v>2100</v>
      </c>
      <c r="N13" s="145"/>
      <c r="O13" s="145"/>
    </row>
    <row r="14" spans="1:15" s="199" customFormat="1" ht="17.25" x14ac:dyDescent="0.3">
      <c r="A14" s="149" t="s">
        <v>330</v>
      </c>
      <c r="B14" s="175">
        <v>9884664943</v>
      </c>
      <c r="C14" s="175" t="s">
        <v>329</v>
      </c>
      <c r="D14" s="175"/>
      <c r="E14" s="175">
        <v>2000</v>
      </c>
      <c r="F14" s="197" t="s">
        <v>1007</v>
      </c>
      <c r="G14" s="175">
        <v>2000</v>
      </c>
      <c r="H14" s="175" t="s">
        <v>439</v>
      </c>
      <c r="I14" s="175"/>
      <c r="J14" s="149"/>
      <c r="K14" s="149"/>
      <c r="L14" s="149">
        <v>1</v>
      </c>
      <c r="M14" s="198">
        <v>2000</v>
      </c>
      <c r="N14" s="149"/>
      <c r="O14" s="149"/>
    </row>
    <row r="15" spans="1:15" customFormat="1" ht="18.75" x14ac:dyDescent="0.3">
      <c r="A15" s="151" t="s">
        <v>343</v>
      </c>
      <c r="B15" s="150">
        <v>9940440423</v>
      </c>
      <c r="C15" s="150" t="s">
        <v>337</v>
      </c>
      <c r="D15" s="150"/>
      <c r="E15" s="150">
        <v>1800</v>
      </c>
      <c r="F15" s="196">
        <v>46206</v>
      </c>
      <c r="G15" s="147">
        <v>1800</v>
      </c>
      <c r="H15" s="150" t="s">
        <v>439</v>
      </c>
      <c r="I15" s="150"/>
      <c r="J15" s="3"/>
      <c r="K15" s="3"/>
      <c r="L15" s="4">
        <v>1</v>
      </c>
      <c r="M15" s="4">
        <v>1800</v>
      </c>
      <c r="N15" s="4"/>
      <c r="O15" s="4"/>
    </row>
    <row r="16" spans="1:15" ht="17.25" x14ac:dyDescent="0.3">
      <c r="A16" s="151" t="s">
        <v>349</v>
      </c>
      <c r="B16" s="150">
        <v>9884873355</v>
      </c>
      <c r="C16" s="150" t="s">
        <v>353</v>
      </c>
      <c r="D16" s="150">
        <v>14762</v>
      </c>
      <c r="E16" s="150">
        <v>4600</v>
      </c>
      <c r="F16" s="150"/>
      <c r="G16" s="147"/>
      <c r="H16" s="150"/>
      <c r="I16" s="150"/>
      <c r="J16" s="151"/>
      <c r="K16" s="151"/>
      <c r="L16" s="151">
        <v>2</v>
      </c>
      <c r="M16" s="4" t="s">
        <v>946</v>
      </c>
      <c r="N16" s="151"/>
      <c r="O16" s="151"/>
    </row>
    <row r="17" spans="1:15" ht="17.25" x14ac:dyDescent="0.3">
      <c r="A17" s="151" t="s">
        <v>940</v>
      </c>
      <c r="B17" s="150">
        <v>9042264206</v>
      </c>
      <c r="C17" s="150" t="s">
        <v>351</v>
      </c>
      <c r="D17" s="150">
        <v>8500</v>
      </c>
      <c r="E17" s="150">
        <v>4250</v>
      </c>
      <c r="F17" s="150"/>
      <c r="G17" s="147" t="s">
        <v>977</v>
      </c>
      <c r="H17" s="150"/>
      <c r="I17" s="150"/>
      <c r="J17" s="151"/>
      <c r="K17" s="151" t="s">
        <v>882</v>
      </c>
      <c r="L17" s="151">
        <v>1</v>
      </c>
      <c r="M17" s="4">
        <v>4250</v>
      </c>
      <c r="N17" s="151"/>
      <c r="O17" s="151"/>
    </row>
    <row r="18" spans="1:15" s="138" customFormat="1" ht="18.75" x14ac:dyDescent="0.3">
      <c r="A18" s="145" t="s">
        <v>910</v>
      </c>
      <c r="B18" s="146">
        <v>6382501514</v>
      </c>
      <c r="C18" s="146" t="s">
        <v>353</v>
      </c>
      <c r="D18" s="146">
        <v>1600</v>
      </c>
      <c r="E18" s="146">
        <v>1600</v>
      </c>
      <c r="F18" s="146" t="s">
        <v>229</v>
      </c>
      <c r="G18" s="147">
        <v>1600</v>
      </c>
      <c r="H18" s="207">
        <v>46359</v>
      </c>
      <c r="I18" s="153" t="s">
        <v>811</v>
      </c>
      <c r="J18" s="31"/>
      <c r="K18" s="31"/>
      <c r="L18" s="140">
        <v>1</v>
      </c>
      <c r="M18" s="140">
        <v>1600</v>
      </c>
      <c r="N18" s="140"/>
      <c r="O18" s="140"/>
    </row>
    <row r="19" spans="1:15" customFormat="1" ht="18.75" x14ac:dyDescent="0.3">
      <c r="A19" s="151" t="s">
        <v>993</v>
      </c>
      <c r="B19" s="150">
        <v>8870042240</v>
      </c>
      <c r="C19" s="150" t="s">
        <v>399</v>
      </c>
      <c r="D19" s="150">
        <v>3500</v>
      </c>
      <c r="E19" s="150">
        <v>3500</v>
      </c>
      <c r="F19" s="150" t="s">
        <v>954</v>
      </c>
      <c r="G19" s="147">
        <v>7000</v>
      </c>
      <c r="H19" s="150" t="s">
        <v>47</v>
      </c>
      <c r="I19" s="150"/>
      <c r="J19" s="3"/>
      <c r="K19" s="3"/>
      <c r="L19" s="4">
        <v>1</v>
      </c>
      <c r="M19" s="4">
        <v>3500</v>
      </c>
      <c r="N19" s="4"/>
      <c r="O19" s="4"/>
    </row>
    <row r="20" spans="1:15" customFormat="1" ht="17.25" x14ac:dyDescent="0.3">
      <c r="A20" s="151" t="s">
        <v>391</v>
      </c>
      <c r="B20" s="150">
        <v>9032291673</v>
      </c>
      <c r="C20" s="150" t="s">
        <v>389</v>
      </c>
      <c r="D20" s="150"/>
      <c r="E20" s="150">
        <v>1600</v>
      </c>
      <c r="F20" s="150" t="s">
        <v>980</v>
      </c>
      <c r="G20" s="147">
        <v>1600</v>
      </c>
      <c r="H20" s="150" t="s">
        <v>439</v>
      </c>
      <c r="I20" s="150"/>
      <c r="J20" s="2"/>
      <c r="K20" s="2"/>
      <c r="L20" s="2">
        <v>1</v>
      </c>
      <c r="M20" s="4">
        <v>1600</v>
      </c>
      <c r="N20" s="4"/>
      <c r="O20" s="4"/>
    </row>
    <row r="21" spans="1:15" s="216" customFormat="1" ht="17.25" x14ac:dyDescent="0.3">
      <c r="A21" s="214" t="s">
        <v>419</v>
      </c>
      <c r="B21" s="213">
        <v>9840753687</v>
      </c>
      <c r="C21" s="213" t="s">
        <v>402</v>
      </c>
      <c r="D21" s="213"/>
      <c r="E21" s="213">
        <v>2500</v>
      </c>
      <c r="F21" s="213"/>
      <c r="G21" s="213"/>
      <c r="H21" s="213"/>
      <c r="I21" s="314" t="s">
        <v>811</v>
      </c>
      <c r="J21" s="214"/>
      <c r="K21" s="214"/>
      <c r="L21" s="214">
        <v>1</v>
      </c>
      <c r="M21" s="215">
        <v>2500</v>
      </c>
      <c r="N21" s="214"/>
      <c r="O21" s="214"/>
    </row>
    <row r="22" spans="1:15" s="161" customFormat="1" ht="17.25" x14ac:dyDescent="0.3">
      <c r="A22" s="145" t="s">
        <v>781</v>
      </c>
      <c r="B22" s="146">
        <v>6383721663</v>
      </c>
      <c r="C22" s="146" t="s">
        <v>422</v>
      </c>
      <c r="D22" s="146"/>
      <c r="E22" s="146">
        <v>2000</v>
      </c>
      <c r="F22" s="146" t="s">
        <v>229</v>
      </c>
      <c r="G22" s="147">
        <v>2000</v>
      </c>
      <c r="H22" s="207">
        <v>46358</v>
      </c>
      <c r="I22" s="153" t="s">
        <v>811</v>
      </c>
      <c r="J22" s="145"/>
      <c r="K22" s="145"/>
      <c r="L22" s="145">
        <v>1</v>
      </c>
      <c r="M22" s="4">
        <v>2000</v>
      </c>
      <c r="N22" s="145"/>
      <c r="O22" s="145"/>
    </row>
    <row r="23" spans="1:15" s="192" customFormat="1" ht="17.25" x14ac:dyDescent="0.3">
      <c r="A23" s="188" t="s">
        <v>991</v>
      </c>
      <c r="B23" s="189">
        <v>7904409817</v>
      </c>
      <c r="C23" s="189" t="s">
        <v>474</v>
      </c>
      <c r="D23" s="189"/>
      <c r="E23" s="189">
        <v>4500</v>
      </c>
      <c r="F23" s="193">
        <v>46148</v>
      </c>
      <c r="G23" s="189">
        <v>4500</v>
      </c>
      <c r="H23" s="189" t="s">
        <v>439</v>
      </c>
      <c r="I23" s="189"/>
      <c r="J23" s="206"/>
      <c r="K23" s="206" t="s">
        <v>883</v>
      </c>
      <c r="L23" s="206">
        <v>1</v>
      </c>
      <c r="M23" s="191">
        <v>4500</v>
      </c>
      <c r="N23" s="191"/>
      <c r="O23" s="191"/>
    </row>
    <row r="24" spans="1:15" s="165" customFormat="1" ht="17.25" x14ac:dyDescent="0.3">
      <c r="A24" s="157" t="s">
        <v>600</v>
      </c>
      <c r="B24" s="152">
        <v>9962718253</v>
      </c>
      <c r="C24" s="152" t="s">
        <v>474</v>
      </c>
      <c r="D24" s="152"/>
      <c r="E24" s="152">
        <v>2800</v>
      </c>
      <c r="F24" s="152"/>
      <c r="G24" s="147">
        <v>2000</v>
      </c>
      <c r="H24" s="147"/>
      <c r="I24" s="147"/>
      <c r="J24" s="157"/>
      <c r="K24" s="157"/>
      <c r="L24" s="157">
        <v>1</v>
      </c>
      <c r="M24" s="205">
        <v>1800</v>
      </c>
      <c r="N24" s="157"/>
      <c r="O24" s="157"/>
    </row>
    <row r="25" spans="1:15" ht="17.25" x14ac:dyDescent="0.3">
      <c r="A25" s="157" t="s">
        <v>473</v>
      </c>
      <c r="B25" s="150">
        <v>9566059846</v>
      </c>
      <c r="C25" s="150" t="s">
        <v>474</v>
      </c>
      <c r="D25" s="150"/>
      <c r="E25" s="150">
        <v>1700</v>
      </c>
      <c r="F25" s="150" t="s">
        <v>981</v>
      </c>
      <c r="G25" s="150">
        <v>500</v>
      </c>
      <c r="H25" s="150" t="s">
        <v>439</v>
      </c>
      <c r="I25" s="153" t="s">
        <v>822</v>
      </c>
      <c r="J25" s="156"/>
      <c r="K25" s="151"/>
      <c r="L25" s="151">
        <v>1</v>
      </c>
      <c r="M25" s="4">
        <v>1700</v>
      </c>
      <c r="N25" s="151"/>
      <c r="O25" s="151"/>
    </row>
    <row r="26" spans="1:15" ht="17.25" x14ac:dyDescent="0.3">
      <c r="A26" s="151" t="s">
        <v>911</v>
      </c>
      <c r="B26" s="150">
        <v>9080869326</v>
      </c>
      <c r="C26" s="150" t="s">
        <v>479</v>
      </c>
      <c r="D26" s="150">
        <v>1750</v>
      </c>
      <c r="E26" s="150">
        <v>1750</v>
      </c>
      <c r="F26" s="150" t="s">
        <v>1006</v>
      </c>
      <c r="G26" s="150">
        <v>3500</v>
      </c>
      <c r="H26" s="150" t="s">
        <v>47</v>
      </c>
      <c r="I26" s="150"/>
      <c r="J26" s="151"/>
      <c r="K26" s="151"/>
      <c r="L26" s="151">
        <v>1</v>
      </c>
      <c r="M26" s="4">
        <v>1750</v>
      </c>
      <c r="N26" s="151"/>
      <c r="O26" s="151"/>
    </row>
    <row r="27" spans="1:15" ht="17.25" x14ac:dyDescent="0.3">
      <c r="A27" s="151" t="s">
        <v>504</v>
      </c>
      <c r="B27" s="150">
        <v>9841477377</v>
      </c>
      <c r="C27" s="150" t="s">
        <v>493</v>
      </c>
      <c r="D27" s="150"/>
      <c r="E27" s="150">
        <v>1900</v>
      </c>
      <c r="F27" s="196">
        <v>46085</v>
      </c>
      <c r="G27" s="150"/>
      <c r="H27" s="150"/>
      <c r="I27" s="150"/>
      <c r="J27" s="151"/>
      <c r="K27" s="151"/>
      <c r="L27" s="151">
        <v>1</v>
      </c>
      <c r="M27" s="4">
        <v>2000</v>
      </c>
      <c r="N27" s="151"/>
      <c r="O27" s="151"/>
    </row>
    <row r="28" spans="1:15" ht="17.25" x14ac:dyDescent="0.3">
      <c r="A28" s="151" t="s">
        <v>518</v>
      </c>
      <c r="B28" s="150">
        <v>9791101009</v>
      </c>
      <c r="C28" s="150" t="s">
        <v>522</v>
      </c>
      <c r="D28" s="150"/>
      <c r="E28" s="150">
        <v>1700</v>
      </c>
      <c r="F28" s="150" t="s">
        <v>978</v>
      </c>
      <c r="G28" s="150">
        <v>1700</v>
      </c>
      <c r="H28" s="150" t="s">
        <v>439</v>
      </c>
      <c r="I28" s="150"/>
      <c r="J28" s="151"/>
      <c r="K28" s="151"/>
      <c r="L28" s="151">
        <v>1</v>
      </c>
      <c r="M28" s="4">
        <v>1700</v>
      </c>
      <c r="N28" s="151"/>
      <c r="O28" s="151"/>
    </row>
    <row r="29" spans="1:15" customFormat="1" ht="18.75" x14ac:dyDescent="0.3">
      <c r="A29" s="151" t="s">
        <v>992</v>
      </c>
      <c r="B29" s="150">
        <v>9003517441</v>
      </c>
      <c r="C29" s="150" t="s">
        <v>525</v>
      </c>
      <c r="D29" s="150">
        <v>3500</v>
      </c>
      <c r="E29" s="150">
        <v>3500</v>
      </c>
      <c r="F29" s="150" t="s">
        <v>980</v>
      </c>
      <c r="G29" s="150" t="s">
        <v>995</v>
      </c>
      <c r="H29" s="150" t="s">
        <v>994</v>
      </c>
      <c r="I29" s="150"/>
      <c r="J29" s="3"/>
      <c r="K29" s="3" t="s">
        <v>884</v>
      </c>
      <c r="L29" s="4">
        <v>1</v>
      </c>
      <c r="M29" s="4">
        <v>3500</v>
      </c>
      <c r="N29" s="4"/>
      <c r="O29" s="4"/>
    </row>
    <row r="30" spans="1:15" ht="17.25" x14ac:dyDescent="0.3">
      <c r="A30" s="151" t="s">
        <v>542</v>
      </c>
      <c r="B30" s="150">
        <v>8190848756</v>
      </c>
      <c r="C30" s="150" t="s">
        <v>607</v>
      </c>
      <c r="D30" s="150"/>
      <c r="E30" s="150">
        <v>1700</v>
      </c>
      <c r="F30" s="196">
        <v>46329</v>
      </c>
      <c r="G30" s="150">
        <v>1700</v>
      </c>
      <c r="H30" s="150" t="s">
        <v>47</v>
      </c>
      <c r="I30" s="150"/>
      <c r="J30" s="151"/>
      <c r="K30" s="151"/>
      <c r="L30" s="151">
        <v>1</v>
      </c>
      <c r="M30" s="4">
        <v>1700</v>
      </c>
      <c r="N30" s="151"/>
      <c r="O30" s="151"/>
    </row>
    <row r="31" spans="1:15" customFormat="1" ht="18.75" x14ac:dyDescent="0.3">
      <c r="A31" s="151" t="s">
        <v>543</v>
      </c>
      <c r="B31" s="150">
        <v>9884690348</v>
      </c>
      <c r="C31" s="150" t="s">
        <v>521</v>
      </c>
      <c r="D31" s="150"/>
      <c r="E31" s="150">
        <v>1150</v>
      </c>
      <c r="F31" s="150"/>
      <c r="G31" s="150"/>
      <c r="H31" s="150"/>
      <c r="I31" s="150"/>
      <c r="J31" s="3"/>
      <c r="K31" s="3" t="s">
        <v>885</v>
      </c>
      <c r="L31" s="4">
        <v>2</v>
      </c>
      <c r="M31" s="4" t="s">
        <v>886</v>
      </c>
      <c r="N31" s="4"/>
      <c r="O31" s="4"/>
    </row>
    <row r="32" spans="1:15" s="138" customFormat="1" ht="18.75" x14ac:dyDescent="0.3">
      <c r="A32" s="145" t="s">
        <v>577</v>
      </c>
      <c r="B32" s="146">
        <v>9444391545</v>
      </c>
      <c r="C32" s="146" t="s">
        <v>578</v>
      </c>
      <c r="D32" s="146"/>
      <c r="E32" s="146">
        <v>1400</v>
      </c>
      <c r="F32" s="207">
        <v>46206</v>
      </c>
      <c r="G32" s="146"/>
      <c r="H32" s="146"/>
      <c r="I32" s="146" t="s">
        <v>811</v>
      </c>
      <c r="J32" s="31"/>
      <c r="K32" s="31"/>
      <c r="L32" s="140"/>
      <c r="M32" s="140"/>
      <c r="N32" s="140"/>
      <c r="O32" s="140"/>
    </row>
    <row r="33" spans="1:15" s="138" customFormat="1" ht="18.75" x14ac:dyDescent="0.3">
      <c r="A33" s="145" t="s">
        <v>581</v>
      </c>
      <c r="B33" s="146">
        <v>9790812585</v>
      </c>
      <c r="C33" s="146" t="s">
        <v>582</v>
      </c>
      <c r="D33" s="146"/>
      <c r="E33" s="146">
        <v>4500</v>
      </c>
      <c r="F33" s="146"/>
      <c r="G33" s="146"/>
      <c r="H33" s="146"/>
      <c r="I33" s="153" t="s">
        <v>811</v>
      </c>
      <c r="J33" s="31"/>
      <c r="K33" s="31"/>
      <c r="L33" s="140"/>
      <c r="M33" s="4"/>
      <c r="N33" s="140"/>
      <c r="O33" s="140"/>
    </row>
    <row r="34" spans="1:15" customFormat="1" ht="18.75" x14ac:dyDescent="0.3">
      <c r="A34" s="151" t="s">
        <v>584</v>
      </c>
      <c r="B34" s="150">
        <v>8778615006</v>
      </c>
      <c r="C34" s="150" t="s">
        <v>583</v>
      </c>
      <c r="D34" s="150"/>
      <c r="E34" s="150">
        <v>2000</v>
      </c>
      <c r="F34" s="196">
        <v>46268</v>
      </c>
      <c r="G34" s="150">
        <v>2000</v>
      </c>
      <c r="H34" s="150" t="s">
        <v>439</v>
      </c>
      <c r="I34" s="150"/>
      <c r="J34" s="3"/>
      <c r="K34" s="3"/>
      <c r="L34" s="4">
        <v>1</v>
      </c>
      <c r="M34" s="4">
        <v>2000</v>
      </c>
      <c r="N34" s="4"/>
      <c r="O34" s="4"/>
    </row>
    <row r="35" spans="1:15" s="138" customFormat="1" ht="18.75" x14ac:dyDescent="0.3">
      <c r="A35" s="145" t="s">
        <v>864</v>
      </c>
      <c r="B35" s="146">
        <v>8610969772</v>
      </c>
      <c r="C35" s="146" t="s">
        <v>627</v>
      </c>
      <c r="D35" s="146"/>
      <c r="E35" s="146">
        <v>2200</v>
      </c>
      <c r="F35" s="146"/>
      <c r="G35" s="146"/>
      <c r="H35" s="146"/>
      <c r="I35" s="153" t="s">
        <v>887</v>
      </c>
      <c r="J35" s="31"/>
      <c r="K35" s="31"/>
      <c r="L35" s="140"/>
      <c r="M35" s="4"/>
      <c r="N35" s="140"/>
      <c r="O35" s="140"/>
    </row>
    <row r="36" spans="1:15" customFormat="1" ht="17.25" x14ac:dyDescent="0.3">
      <c r="A36" s="145" t="s">
        <v>848</v>
      </c>
      <c r="B36" s="146">
        <v>9840328079</v>
      </c>
      <c r="C36" s="146" t="s">
        <v>628</v>
      </c>
      <c r="D36" s="146"/>
      <c r="E36" s="146">
        <v>6000</v>
      </c>
      <c r="F36" s="146"/>
      <c r="G36" s="146"/>
      <c r="H36" s="153"/>
      <c r="I36" s="153" t="s">
        <v>811</v>
      </c>
      <c r="J36" s="2"/>
      <c r="K36" s="2"/>
      <c r="L36" s="2"/>
      <c r="M36" s="4"/>
      <c r="N36" s="4"/>
      <c r="O36" s="4"/>
    </row>
    <row r="37" spans="1:15" customFormat="1" ht="18.75" x14ac:dyDescent="0.3">
      <c r="A37" s="151" t="s">
        <v>638</v>
      </c>
      <c r="B37" s="150">
        <v>7397264637</v>
      </c>
      <c r="C37" s="150" t="s">
        <v>637</v>
      </c>
      <c r="D37" s="150"/>
      <c r="E37" s="150">
        <v>1700</v>
      </c>
      <c r="F37" s="150" t="s">
        <v>996</v>
      </c>
      <c r="G37" s="150">
        <v>1700</v>
      </c>
      <c r="H37" s="150" t="s">
        <v>997</v>
      </c>
      <c r="I37" s="150"/>
      <c r="J37" s="3"/>
      <c r="K37" s="3"/>
      <c r="L37" s="4">
        <v>1</v>
      </c>
      <c r="M37" s="4"/>
      <c r="N37" s="4"/>
      <c r="O37" s="4"/>
    </row>
    <row r="38" spans="1:15" s="192" customFormat="1" ht="18.75" x14ac:dyDescent="0.3">
      <c r="A38" s="188" t="s">
        <v>1269</v>
      </c>
      <c r="B38" s="189">
        <v>7200151287</v>
      </c>
      <c r="C38" s="189" t="s">
        <v>647</v>
      </c>
      <c r="D38" s="189"/>
      <c r="E38" s="189">
        <v>2250</v>
      </c>
      <c r="F38" s="193">
        <v>46056</v>
      </c>
      <c r="G38" s="189">
        <v>2350</v>
      </c>
      <c r="H38" s="189" t="s">
        <v>47</v>
      </c>
      <c r="I38" s="189"/>
      <c r="J38" s="190"/>
      <c r="K38" s="190"/>
      <c r="L38" s="191">
        <v>1</v>
      </c>
      <c r="M38" s="191"/>
      <c r="N38" s="191"/>
      <c r="O38" s="191"/>
    </row>
    <row r="39" spans="1:15" customFormat="1" ht="18.75" x14ac:dyDescent="0.3">
      <c r="A39" s="151" t="s">
        <v>990</v>
      </c>
      <c r="B39" s="150">
        <v>984004024</v>
      </c>
      <c r="C39" s="150" t="s">
        <v>868</v>
      </c>
      <c r="D39" s="150"/>
      <c r="E39" s="152">
        <v>11250</v>
      </c>
      <c r="F39" s="150" t="s">
        <v>954</v>
      </c>
      <c r="G39" s="150">
        <v>15000</v>
      </c>
      <c r="H39" s="150" t="s">
        <v>47</v>
      </c>
      <c r="I39" s="150"/>
      <c r="J39" s="3"/>
      <c r="K39" s="3"/>
      <c r="L39" s="4">
        <v>3</v>
      </c>
      <c r="M39" s="4" t="s">
        <v>888</v>
      </c>
      <c r="N39" s="4"/>
      <c r="O39" s="4"/>
    </row>
    <row r="40" spans="1:15" customFormat="1" ht="18.75" x14ac:dyDescent="0.3">
      <c r="A40" s="151" t="s">
        <v>699</v>
      </c>
      <c r="B40" s="150">
        <v>9940377630</v>
      </c>
      <c r="C40" s="150" t="s">
        <v>697</v>
      </c>
      <c r="D40" s="150"/>
      <c r="E40" s="150">
        <v>1500</v>
      </c>
      <c r="F40" s="150" t="s">
        <v>934</v>
      </c>
      <c r="G40" s="150">
        <v>1500</v>
      </c>
      <c r="H40" s="150" t="s">
        <v>439</v>
      </c>
      <c r="I40" s="150"/>
      <c r="J40" s="3"/>
      <c r="K40" s="3"/>
      <c r="L40" s="4">
        <v>1</v>
      </c>
      <c r="M40" s="4"/>
      <c r="N40" s="4"/>
      <c r="O40" s="4"/>
    </row>
    <row r="41" spans="1:15" customFormat="1" ht="18.75" x14ac:dyDescent="0.3">
      <c r="A41" s="151" t="s">
        <v>744</v>
      </c>
      <c r="B41" s="150">
        <v>9003920837</v>
      </c>
      <c r="C41" s="150" t="s">
        <v>712</v>
      </c>
      <c r="D41" s="150"/>
      <c r="E41" s="150">
        <v>1800</v>
      </c>
      <c r="F41" s="196">
        <v>46298</v>
      </c>
      <c r="G41" s="150">
        <v>1800</v>
      </c>
      <c r="H41" s="150" t="s">
        <v>47</v>
      </c>
      <c r="I41" s="150"/>
      <c r="J41" s="3"/>
      <c r="K41" s="3"/>
      <c r="L41" s="4">
        <v>1</v>
      </c>
      <c r="M41" s="4"/>
      <c r="N41" s="4"/>
      <c r="O41" s="4"/>
    </row>
    <row r="42" spans="1:15" s="138" customFormat="1" ht="18.75" x14ac:dyDescent="0.3">
      <c r="A42" s="145" t="s">
        <v>717</v>
      </c>
      <c r="B42" s="146">
        <v>9025450206</v>
      </c>
      <c r="C42" s="146" t="s">
        <v>716</v>
      </c>
      <c r="D42" s="146"/>
      <c r="E42" s="146">
        <v>10000</v>
      </c>
      <c r="F42" s="146" t="s">
        <v>962</v>
      </c>
      <c r="G42" s="146"/>
      <c r="H42" s="146"/>
      <c r="I42" s="146" t="s">
        <v>965</v>
      </c>
      <c r="J42" s="31"/>
      <c r="K42" s="31"/>
      <c r="L42" s="140">
        <v>1</v>
      </c>
      <c r="M42" s="140"/>
      <c r="N42" s="140"/>
      <c r="O42" s="140"/>
    </row>
    <row r="43" spans="1:15" customFormat="1" ht="18.75" x14ac:dyDescent="0.3">
      <c r="A43" s="151" t="s">
        <v>722</v>
      </c>
      <c r="B43" s="150">
        <v>8056556619</v>
      </c>
      <c r="C43" s="150" t="s">
        <v>723</v>
      </c>
      <c r="D43" s="150"/>
      <c r="E43" s="150">
        <v>1600</v>
      </c>
      <c r="F43" s="150" t="s">
        <v>978</v>
      </c>
      <c r="G43" s="150">
        <v>1600</v>
      </c>
      <c r="H43" s="150" t="s">
        <v>47</v>
      </c>
      <c r="I43" s="150"/>
      <c r="J43" s="3"/>
      <c r="K43" s="3"/>
      <c r="L43" s="4">
        <v>1</v>
      </c>
      <c r="M43" s="4"/>
      <c r="N43" s="4"/>
      <c r="O43" s="4"/>
    </row>
    <row r="44" spans="1:15" customFormat="1" ht="18.75" x14ac:dyDescent="0.3">
      <c r="A44" s="151" t="s">
        <v>726</v>
      </c>
      <c r="B44" s="150">
        <v>7305272310</v>
      </c>
      <c r="C44" s="150" t="s">
        <v>727</v>
      </c>
      <c r="D44" s="150"/>
      <c r="E44" s="150">
        <v>6000</v>
      </c>
      <c r="F44" s="150"/>
      <c r="G44" s="150"/>
      <c r="H44" s="150"/>
      <c r="I44" s="150"/>
      <c r="J44" s="3"/>
      <c r="K44" s="3"/>
      <c r="L44" s="4">
        <v>1</v>
      </c>
      <c r="M44" s="4"/>
      <c r="N44" s="4"/>
      <c r="O44" s="4"/>
    </row>
    <row r="45" spans="1:15" customFormat="1" ht="18.75" x14ac:dyDescent="0.3">
      <c r="A45" s="151" t="s">
        <v>735</v>
      </c>
      <c r="B45" s="150">
        <v>9789308646</v>
      </c>
      <c r="C45" s="150" t="s">
        <v>734</v>
      </c>
      <c r="D45" s="150"/>
      <c r="E45" s="150">
        <v>1800</v>
      </c>
      <c r="F45" s="150" t="s">
        <v>971</v>
      </c>
      <c r="G45" s="150">
        <v>1800</v>
      </c>
      <c r="H45" s="150" t="s">
        <v>47</v>
      </c>
      <c r="I45" s="150"/>
      <c r="J45" s="3"/>
      <c r="K45" s="3"/>
      <c r="L45" s="4">
        <v>1</v>
      </c>
      <c r="M45" s="4"/>
      <c r="N45" s="4"/>
      <c r="O45" s="4"/>
    </row>
    <row r="46" spans="1:15" customFormat="1" ht="18.75" x14ac:dyDescent="0.3">
      <c r="A46" s="151" t="s">
        <v>904</v>
      </c>
      <c r="B46" s="150">
        <v>8838432039</v>
      </c>
      <c r="C46" s="150" t="s">
        <v>737</v>
      </c>
      <c r="D46" s="150"/>
      <c r="E46" s="150">
        <v>1600</v>
      </c>
      <c r="F46" s="150"/>
      <c r="G46" s="150"/>
      <c r="H46" s="150"/>
      <c r="I46" s="150"/>
      <c r="J46" s="3"/>
      <c r="K46" s="3"/>
      <c r="L46" s="4">
        <v>1</v>
      </c>
      <c r="M46" s="4"/>
      <c r="N46" s="4"/>
      <c r="O46" s="4"/>
    </row>
    <row r="47" spans="1:15" customFormat="1" ht="18.75" x14ac:dyDescent="0.3">
      <c r="A47" s="151" t="s">
        <v>738</v>
      </c>
      <c r="B47" s="150">
        <v>9629322643</v>
      </c>
      <c r="C47" s="150" t="s">
        <v>737</v>
      </c>
      <c r="D47" s="150"/>
      <c r="E47" s="150">
        <v>2200</v>
      </c>
      <c r="F47" s="150" t="s">
        <v>1002</v>
      </c>
      <c r="G47" s="150">
        <v>2000</v>
      </c>
      <c r="H47" s="150" t="s">
        <v>439</v>
      </c>
      <c r="I47" s="150"/>
      <c r="J47" s="3"/>
      <c r="K47" s="3"/>
      <c r="L47" s="4">
        <v>1</v>
      </c>
      <c r="M47" s="4"/>
      <c r="N47" s="4"/>
      <c r="O47" s="4"/>
    </row>
    <row r="48" spans="1:15" s="165" customFormat="1" ht="17.25" x14ac:dyDescent="0.3">
      <c r="A48" s="157" t="s">
        <v>845</v>
      </c>
      <c r="B48" s="152">
        <v>9095407562</v>
      </c>
      <c r="C48" s="152" t="s">
        <v>747</v>
      </c>
      <c r="D48" s="152"/>
      <c r="E48" s="152">
        <v>2000</v>
      </c>
      <c r="F48" s="152"/>
      <c r="G48" s="152"/>
      <c r="H48" s="152"/>
      <c r="I48" s="152" t="s">
        <v>818</v>
      </c>
      <c r="J48" s="157"/>
      <c r="K48" s="157"/>
      <c r="L48" s="157">
        <v>1</v>
      </c>
      <c r="M48" s="4"/>
      <c r="N48" s="157"/>
      <c r="O48" s="157"/>
    </row>
    <row r="49" spans="1:15" s="161" customFormat="1" ht="17.25" x14ac:dyDescent="0.3">
      <c r="A49" s="145" t="s">
        <v>750</v>
      </c>
      <c r="B49" s="146">
        <v>6379860168</v>
      </c>
      <c r="C49" s="146" t="s">
        <v>747</v>
      </c>
      <c r="D49" s="146">
        <v>14000</v>
      </c>
      <c r="E49" s="146">
        <v>1600</v>
      </c>
      <c r="F49" s="207">
        <v>46268</v>
      </c>
      <c r="G49" s="146">
        <v>1800</v>
      </c>
      <c r="H49" s="146" t="s">
        <v>47</v>
      </c>
      <c r="I49" s="146" t="s">
        <v>926</v>
      </c>
      <c r="J49" s="145"/>
      <c r="K49" s="145"/>
      <c r="L49" s="145">
        <v>1</v>
      </c>
      <c r="M49" s="140"/>
      <c r="N49" s="145"/>
      <c r="O49" s="145"/>
    </row>
    <row r="50" spans="1:15" ht="17.25" x14ac:dyDescent="0.3">
      <c r="A50" s="151" t="s">
        <v>764</v>
      </c>
      <c r="B50" s="150"/>
      <c r="C50" s="150" t="s">
        <v>753</v>
      </c>
      <c r="D50" s="150"/>
      <c r="E50" s="150">
        <v>20700</v>
      </c>
      <c r="F50" s="196">
        <v>46206</v>
      </c>
      <c r="G50" s="150">
        <v>20700</v>
      </c>
      <c r="H50" s="150"/>
      <c r="I50" s="150"/>
      <c r="J50" s="151"/>
      <c r="K50" s="151"/>
      <c r="L50" s="151">
        <v>17</v>
      </c>
      <c r="M50" s="4" t="s">
        <v>889</v>
      </c>
      <c r="N50" s="151"/>
      <c r="O50" s="151"/>
    </row>
    <row r="51" spans="1:15" s="192" customFormat="1" ht="18.75" x14ac:dyDescent="0.3">
      <c r="A51" s="188" t="s">
        <v>768</v>
      </c>
      <c r="B51" s="189"/>
      <c r="C51" s="189" t="s">
        <v>769</v>
      </c>
      <c r="D51" s="189"/>
      <c r="E51" s="189">
        <v>2000</v>
      </c>
      <c r="F51" s="189" t="s">
        <v>890</v>
      </c>
      <c r="G51" s="189">
        <v>2000</v>
      </c>
      <c r="H51" s="189" t="s">
        <v>47</v>
      </c>
      <c r="I51" s="189"/>
      <c r="J51" s="190"/>
      <c r="K51" s="190"/>
      <c r="L51" s="191">
        <v>1</v>
      </c>
      <c r="M51" s="191"/>
      <c r="N51" s="191"/>
      <c r="O51" s="191"/>
    </row>
    <row r="52" spans="1:15" s="138" customFormat="1" ht="18.75" x14ac:dyDescent="0.3">
      <c r="A52" s="145" t="s">
        <v>776</v>
      </c>
      <c r="B52" s="146">
        <v>8072415824</v>
      </c>
      <c r="C52" s="146" t="s">
        <v>775</v>
      </c>
      <c r="D52" s="146"/>
      <c r="E52" s="146">
        <v>4200</v>
      </c>
      <c r="F52" s="146"/>
      <c r="G52" s="146"/>
      <c r="H52" s="207">
        <v>46145</v>
      </c>
      <c r="I52" s="146" t="s">
        <v>906</v>
      </c>
      <c r="J52" s="31"/>
      <c r="K52" s="31"/>
      <c r="L52" s="140">
        <v>1</v>
      </c>
      <c r="M52" s="140"/>
      <c r="N52" s="140"/>
      <c r="O52" s="140"/>
    </row>
    <row r="53" spans="1:15" s="138" customFormat="1" ht="18.75" x14ac:dyDescent="0.3">
      <c r="A53" s="145" t="s">
        <v>778</v>
      </c>
      <c r="B53" s="146">
        <v>8015021074</v>
      </c>
      <c r="C53" s="146" t="s">
        <v>779</v>
      </c>
      <c r="D53" s="146"/>
      <c r="E53" s="146">
        <v>2000</v>
      </c>
      <c r="F53" s="146"/>
      <c r="G53" s="146"/>
      <c r="H53" s="207">
        <v>46176</v>
      </c>
      <c r="I53" s="146" t="s">
        <v>905</v>
      </c>
      <c r="J53" s="31"/>
      <c r="K53" s="31"/>
      <c r="L53" s="140">
        <v>1</v>
      </c>
      <c r="M53" s="140"/>
      <c r="N53" s="140"/>
      <c r="O53" s="140"/>
    </row>
    <row r="54" spans="1:15" customFormat="1" ht="18.75" x14ac:dyDescent="0.3">
      <c r="A54" s="151" t="s">
        <v>986</v>
      </c>
      <c r="B54" s="150">
        <v>9489210061</v>
      </c>
      <c r="C54" s="150" t="s">
        <v>613</v>
      </c>
      <c r="D54" s="150"/>
      <c r="E54" s="150">
        <v>3500</v>
      </c>
      <c r="F54" s="150" t="s">
        <v>962</v>
      </c>
      <c r="G54" s="150">
        <v>3500</v>
      </c>
      <c r="H54" s="150" t="s">
        <v>47</v>
      </c>
      <c r="I54" s="150"/>
      <c r="J54" s="3"/>
      <c r="K54" s="3"/>
      <c r="L54" s="4">
        <v>1</v>
      </c>
      <c r="M54" s="4"/>
      <c r="N54" s="4"/>
      <c r="O54" s="4"/>
    </row>
    <row r="55" spans="1:15" s="192" customFormat="1" ht="18.75" x14ac:dyDescent="0.3">
      <c r="A55" s="188" t="s">
        <v>787</v>
      </c>
      <c r="B55" s="189">
        <v>9500112451</v>
      </c>
      <c r="C55" s="189" t="s">
        <v>788</v>
      </c>
      <c r="D55" s="189"/>
      <c r="E55" s="189">
        <v>2100</v>
      </c>
      <c r="F55" s="193">
        <v>46115</v>
      </c>
      <c r="G55" s="189">
        <v>2100</v>
      </c>
      <c r="H55" s="189" t="s">
        <v>439</v>
      </c>
      <c r="I55" s="189"/>
      <c r="J55" s="190"/>
      <c r="K55" s="190"/>
      <c r="L55" s="191">
        <v>1</v>
      </c>
      <c r="M55" s="191"/>
      <c r="N55" s="191"/>
      <c r="O55" s="191"/>
    </row>
    <row r="56" spans="1:15" ht="17.25" x14ac:dyDescent="0.3">
      <c r="A56" s="151" t="s">
        <v>947</v>
      </c>
      <c r="B56" s="150">
        <v>9840982094</v>
      </c>
      <c r="C56" s="150" t="s">
        <v>790</v>
      </c>
      <c r="D56" s="150">
        <v>78000</v>
      </c>
      <c r="E56" s="150">
        <v>13400</v>
      </c>
      <c r="F56" s="150" t="s">
        <v>936</v>
      </c>
      <c r="G56" s="150">
        <v>29753</v>
      </c>
      <c r="H56" s="150"/>
      <c r="I56" s="150">
        <f>D56-H56</f>
        <v>78000</v>
      </c>
      <c r="J56" s="151"/>
      <c r="K56" s="151"/>
      <c r="L56" s="151">
        <v>9</v>
      </c>
      <c r="M56" s="4" t="s">
        <v>1368</v>
      </c>
      <c r="N56" s="151"/>
      <c r="O56" s="151"/>
    </row>
    <row r="57" spans="1:15" customFormat="1" ht="18.75" x14ac:dyDescent="0.3">
      <c r="A57" s="151" t="s">
        <v>792</v>
      </c>
      <c r="B57" s="150">
        <v>9952971431</v>
      </c>
      <c r="C57" s="150" t="s">
        <v>793</v>
      </c>
      <c r="D57" s="150">
        <v>25000</v>
      </c>
      <c r="E57" s="150">
        <v>2500</v>
      </c>
      <c r="F57" s="196">
        <v>46359</v>
      </c>
      <c r="G57" s="150">
        <v>2500</v>
      </c>
      <c r="H57" s="150" t="s">
        <v>439</v>
      </c>
      <c r="I57" s="150"/>
      <c r="J57" s="3"/>
      <c r="K57" s="3"/>
      <c r="L57" s="4">
        <v>1</v>
      </c>
      <c r="M57" s="4"/>
      <c r="N57" s="4"/>
      <c r="O57" s="4"/>
    </row>
    <row r="58" spans="1:15" s="138" customFormat="1" ht="18.75" x14ac:dyDescent="0.3">
      <c r="A58" s="145" t="s">
        <v>810</v>
      </c>
      <c r="B58" s="146">
        <v>8119023887</v>
      </c>
      <c r="C58" s="146" t="s">
        <v>808</v>
      </c>
      <c r="D58" s="146">
        <v>5000</v>
      </c>
      <c r="E58" s="146">
        <v>1500</v>
      </c>
      <c r="F58" s="146"/>
      <c r="G58" s="146"/>
      <c r="H58" s="207"/>
      <c r="I58" s="207" t="s">
        <v>921</v>
      </c>
      <c r="J58" s="31"/>
      <c r="K58" s="31"/>
      <c r="L58" s="140"/>
      <c r="M58" s="140"/>
      <c r="N58" s="140"/>
      <c r="O58" s="140"/>
    </row>
    <row r="59" spans="1:15" s="161" customFormat="1" ht="17.25" x14ac:dyDescent="0.3">
      <c r="A59" s="145" t="s">
        <v>855</v>
      </c>
      <c r="B59" s="146">
        <v>9566430099</v>
      </c>
      <c r="C59" s="146" t="s">
        <v>826</v>
      </c>
      <c r="D59" s="146"/>
      <c r="E59" s="146">
        <v>1500</v>
      </c>
      <c r="F59" s="146"/>
      <c r="G59" s="146"/>
      <c r="H59" s="207" t="s">
        <v>921</v>
      </c>
      <c r="I59" s="146" t="s">
        <v>811</v>
      </c>
      <c r="J59" s="145"/>
      <c r="K59" s="145"/>
      <c r="L59" s="145"/>
      <c r="M59" s="140"/>
      <c r="N59" s="145"/>
      <c r="O59" s="145"/>
    </row>
    <row r="60" spans="1:15" s="161" customFormat="1" ht="17.25" x14ac:dyDescent="0.3">
      <c r="A60" s="145" t="s">
        <v>858</v>
      </c>
      <c r="B60" s="146">
        <v>6379753225</v>
      </c>
      <c r="C60" s="146" t="s">
        <v>859</v>
      </c>
      <c r="D60" s="146">
        <v>20300</v>
      </c>
      <c r="E60" s="146">
        <v>4700</v>
      </c>
      <c r="F60" s="146"/>
      <c r="G60" s="146"/>
      <c r="H60" s="146"/>
      <c r="I60" s="146" t="s">
        <v>811</v>
      </c>
      <c r="J60" s="145"/>
      <c r="K60" s="145"/>
      <c r="L60" s="145"/>
      <c r="M60" s="140"/>
      <c r="N60" s="145"/>
      <c r="O60" s="145"/>
    </row>
    <row r="61" spans="1:15" s="194" customFormat="1" ht="17.25" x14ac:dyDescent="0.3">
      <c r="A61" s="188" t="s">
        <v>871</v>
      </c>
      <c r="B61" s="189">
        <v>9094980194</v>
      </c>
      <c r="C61" s="189" t="s">
        <v>873</v>
      </c>
      <c r="D61" s="189">
        <v>2000</v>
      </c>
      <c r="E61" s="189">
        <v>500</v>
      </c>
      <c r="F61" s="189" t="s">
        <v>874</v>
      </c>
      <c r="G61" s="189">
        <v>2500</v>
      </c>
      <c r="H61" s="189" t="s">
        <v>47</v>
      </c>
      <c r="I61" s="189"/>
      <c r="J61" s="188"/>
      <c r="K61" s="188"/>
      <c r="L61" s="188"/>
      <c r="M61" s="191"/>
      <c r="N61" s="188" t="s">
        <v>949</v>
      </c>
      <c r="O61" s="188"/>
    </row>
    <row r="62" spans="1:15" s="194" customFormat="1" ht="17.25" x14ac:dyDescent="0.3">
      <c r="A62" s="188" t="s">
        <v>897</v>
      </c>
      <c r="B62" s="189"/>
      <c r="C62" s="193">
        <v>46084</v>
      </c>
      <c r="D62" s="189"/>
      <c r="E62" s="189">
        <v>2000</v>
      </c>
      <c r="F62" s="193">
        <v>46084</v>
      </c>
      <c r="G62" s="189">
        <v>2100</v>
      </c>
      <c r="H62" s="189" t="s">
        <v>880</v>
      </c>
      <c r="I62" s="189"/>
      <c r="J62" s="188">
        <v>295</v>
      </c>
      <c r="K62" s="188">
        <v>594</v>
      </c>
      <c r="L62" s="188">
        <v>1</v>
      </c>
      <c r="M62" s="191"/>
      <c r="N62" s="188" t="s">
        <v>898</v>
      </c>
      <c r="O62" s="188"/>
    </row>
    <row r="63" spans="1:15" s="199" customFormat="1" x14ac:dyDescent="0.4">
      <c r="A63" s="151" t="s">
        <v>919</v>
      </c>
      <c r="B63" s="175"/>
      <c r="C63" s="197">
        <v>46115</v>
      </c>
      <c r="D63" s="175"/>
      <c r="E63" s="175"/>
      <c r="F63" s="196">
        <v>46115</v>
      </c>
      <c r="G63" s="175"/>
      <c r="H63" s="175"/>
      <c r="I63" s="175"/>
      <c r="J63" s="151">
        <v>296</v>
      </c>
      <c r="K63" s="200">
        <v>693694</v>
      </c>
      <c r="L63" s="149">
        <v>2</v>
      </c>
      <c r="M63" s="198"/>
      <c r="N63" s="151" t="s">
        <v>900</v>
      </c>
      <c r="O63" s="149"/>
    </row>
    <row r="64" spans="1:15" x14ac:dyDescent="0.4">
      <c r="A64" s="151" t="s">
        <v>917</v>
      </c>
      <c r="B64" s="150" t="s">
        <v>974</v>
      </c>
      <c r="C64" s="196"/>
      <c r="D64" s="150"/>
      <c r="E64" s="150"/>
      <c r="F64" s="196">
        <v>46115</v>
      </c>
      <c r="G64" s="150"/>
      <c r="H64" s="150" t="s">
        <v>1106</v>
      </c>
      <c r="I64" s="150"/>
      <c r="J64" s="151"/>
      <c r="K64" s="200"/>
      <c r="L64" s="151"/>
      <c r="M64" s="4"/>
      <c r="N64" s="151"/>
      <c r="O64" s="151"/>
    </row>
    <row r="65" spans="1:15" x14ac:dyDescent="0.4">
      <c r="A65" s="151" t="s">
        <v>918</v>
      </c>
      <c r="B65" s="150"/>
      <c r="C65" s="150"/>
      <c r="D65" s="150"/>
      <c r="E65" s="150"/>
      <c r="F65" s="196">
        <v>46145</v>
      </c>
      <c r="G65" s="150"/>
      <c r="H65" s="150" t="s">
        <v>913</v>
      </c>
      <c r="I65" s="150"/>
      <c r="J65" s="151"/>
      <c r="K65" s="151"/>
      <c r="L65" s="151"/>
      <c r="M65" s="4"/>
      <c r="N65" s="151"/>
      <c r="O65" s="151"/>
    </row>
    <row r="66" spans="1:15" x14ac:dyDescent="0.4">
      <c r="A66" s="151" t="s">
        <v>907</v>
      </c>
      <c r="B66" s="150"/>
      <c r="C66" s="150" t="s">
        <v>922</v>
      </c>
      <c r="D66" s="150"/>
      <c r="E66" s="150"/>
      <c r="F66" s="196">
        <v>46329</v>
      </c>
      <c r="G66" s="150"/>
      <c r="H66" s="150" t="s">
        <v>929</v>
      </c>
      <c r="I66" s="150"/>
      <c r="J66" s="151"/>
      <c r="K66" s="151"/>
      <c r="L66" s="151"/>
      <c r="M66" s="4"/>
      <c r="N66" s="151"/>
      <c r="O66" s="151"/>
    </row>
    <row r="67" spans="1:15" x14ac:dyDescent="0.4">
      <c r="A67" s="151" t="s">
        <v>920</v>
      </c>
      <c r="B67" s="150"/>
      <c r="C67" s="150"/>
      <c r="D67" s="150"/>
      <c r="E67" s="150"/>
      <c r="F67" s="196">
        <v>46176</v>
      </c>
      <c r="G67" s="150"/>
      <c r="H67" s="150" t="s">
        <v>912</v>
      </c>
      <c r="I67" s="150" t="s">
        <v>811</v>
      </c>
      <c r="J67" s="151"/>
      <c r="K67" s="151"/>
      <c r="L67" s="151"/>
      <c r="M67" s="4"/>
      <c r="N67" s="151"/>
      <c r="O67" s="151"/>
    </row>
    <row r="68" spans="1:15" s="161" customFormat="1" x14ac:dyDescent="0.4">
      <c r="A68" s="145" t="s">
        <v>915</v>
      </c>
      <c r="B68" s="146"/>
      <c r="C68" s="207">
        <v>46206</v>
      </c>
      <c r="D68" s="146"/>
      <c r="E68" s="146">
        <v>415</v>
      </c>
      <c r="F68" s="146"/>
      <c r="G68" s="146"/>
      <c r="H68" s="146" t="s">
        <v>948</v>
      </c>
      <c r="I68" s="146"/>
      <c r="J68" s="145"/>
      <c r="K68" s="145"/>
      <c r="L68" s="145"/>
      <c r="M68" s="140"/>
      <c r="N68" s="145"/>
      <c r="O68" s="145"/>
    </row>
    <row r="69" spans="1:15" s="194" customFormat="1" x14ac:dyDescent="0.4">
      <c r="A69" s="188" t="s">
        <v>924</v>
      </c>
      <c r="B69" s="189"/>
      <c r="C69" s="193">
        <v>46237</v>
      </c>
      <c r="D69" s="189"/>
      <c r="E69" s="189">
        <v>2500</v>
      </c>
      <c r="F69" s="193">
        <v>46237</v>
      </c>
      <c r="G69" s="189">
        <v>2500</v>
      </c>
      <c r="H69" s="189" t="s">
        <v>47</v>
      </c>
      <c r="I69" s="189"/>
      <c r="J69" s="188">
        <v>302</v>
      </c>
      <c r="K69" s="188">
        <v>627</v>
      </c>
      <c r="L69" s="188">
        <v>1</v>
      </c>
      <c r="M69" s="191"/>
      <c r="N69" s="188" t="s">
        <v>950</v>
      </c>
      <c r="O69" s="188"/>
    </row>
    <row r="70" spans="1:15" s="194" customFormat="1" x14ac:dyDescent="0.4">
      <c r="A70" s="188" t="s">
        <v>925</v>
      </c>
      <c r="B70" s="189"/>
      <c r="C70" s="193">
        <v>46237</v>
      </c>
      <c r="D70" s="189"/>
      <c r="E70" s="189">
        <v>1600</v>
      </c>
      <c r="F70" s="193">
        <v>46237</v>
      </c>
      <c r="G70" s="208">
        <v>1600</v>
      </c>
      <c r="H70" s="189" t="s">
        <v>47</v>
      </c>
      <c r="I70" s="189"/>
      <c r="J70" s="188">
        <v>120</v>
      </c>
      <c r="K70" s="188">
        <v>670</v>
      </c>
      <c r="L70" s="188">
        <v>1</v>
      </c>
      <c r="M70" s="191"/>
      <c r="N70" s="188"/>
      <c r="O70" s="188"/>
    </row>
    <row r="71" spans="1:15" x14ac:dyDescent="0.4">
      <c r="A71" s="151" t="s">
        <v>938</v>
      </c>
      <c r="B71" s="150">
        <v>7845630782</v>
      </c>
      <c r="C71" s="150"/>
      <c r="D71" s="150"/>
      <c r="E71" s="150"/>
      <c r="F71" s="196">
        <v>46298</v>
      </c>
      <c r="G71" s="150"/>
      <c r="H71" s="150" t="s">
        <v>928</v>
      </c>
      <c r="I71" s="150" t="s">
        <v>811</v>
      </c>
      <c r="J71" s="151"/>
      <c r="K71" s="151"/>
      <c r="L71" s="151"/>
      <c r="M71" s="4"/>
      <c r="N71" s="151"/>
      <c r="O71" s="151"/>
    </row>
    <row r="72" spans="1:15" x14ac:dyDescent="0.4">
      <c r="A72" s="151" t="s">
        <v>932</v>
      </c>
      <c r="B72" s="150"/>
      <c r="C72" s="150" t="s">
        <v>982</v>
      </c>
      <c r="D72" s="150"/>
      <c r="E72" s="150"/>
      <c r="F72" s="196">
        <v>46329</v>
      </c>
      <c r="G72" s="150"/>
      <c r="H72" s="150" t="s">
        <v>927</v>
      </c>
      <c r="I72" s="150" t="s">
        <v>811</v>
      </c>
      <c r="J72" s="151"/>
      <c r="K72" s="151">
        <v>514</v>
      </c>
      <c r="L72" s="151"/>
      <c r="M72" s="4"/>
      <c r="N72" s="151"/>
      <c r="O72" s="151"/>
    </row>
    <row r="73" spans="1:15" s="161" customFormat="1" x14ac:dyDescent="0.4">
      <c r="A73" s="145" t="s">
        <v>959</v>
      </c>
      <c r="B73" s="146">
        <v>8921290211</v>
      </c>
      <c r="C73" s="207">
        <v>46359</v>
      </c>
      <c r="D73" s="146">
        <v>30000</v>
      </c>
      <c r="E73" s="146">
        <v>2500</v>
      </c>
      <c r="F73" s="207"/>
      <c r="G73" s="146" t="s">
        <v>931</v>
      </c>
      <c r="H73" s="146" t="s">
        <v>930</v>
      </c>
      <c r="I73" s="146" t="s">
        <v>811</v>
      </c>
      <c r="J73" s="145"/>
      <c r="K73" s="145">
        <v>615</v>
      </c>
      <c r="L73" s="145"/>
      <c r="M73" s="140"/>
      <c r="N73" s="145"/>
      <c r="O73" s="145"/>
    </row>
    <row r="74" spans="1:15" x14ac:dyDescent="0.4">
      <c r="A74" s="151" t="s">
        <v>960</v>
      </c>
      <c r="B74" s="150">
        <v>9840251652</v>
      </c>
      <c r="C74" s="150" t="s">
        <v>933</v>
      </c>
      <c r="D74" s="150"/>
      <c r="E74" s="150">
        <v>1500</v>
      </c>
      <c r="F74" s="196" t="s">
        <v>933</v>
      </c>
      <c r="G74" s="150">
        <v>1650</v>
      </c>
      <c r="H74" s="150" t="s">
        <v>935</v>
      </c>
      <c r="I74" s="150"/>
      <c r="J74" s="151"/>
      <c r="K74" s="151">
        <v>647</v>
      </c>
      <c r="L74" s="151"/>
      <c r="M74" s="4"/>
      <c r="N74" s="151" t="s">
        <v>970</v>
      </c>
      <c r="O74" s="151"/>
    </row>
    <row r="75" spans="1:15" s="161" customFormat="1" x14ac:dyDescent="0.4">
      <c r="A75" s="145" t="s">
        <v>958</v>
      </c>
      <c r="B75" s="146">
        <v>8754015150</v>
      </c>
      <c r="C75" s="146" t="s">
        <v>934</v>
      </c>
      <c r="D75" s="146"/>
      <c r="E75" s="146">
        <v>2250</v>
      </c>
      <c r="F75" s="146" t="s">
        <v>934</v>
      </c>
      <c r="G75" s="146">
        <v>2250</v>
      </c>
      <c r="H75" s="146" t="s">
        <v>47</v>
      </c>
      <c r="I75" s="146" t="s">
        <v>811</v>
      </c>
      <c r="J75" s="145"/>
      <c r="K75" s="145">
        <v>685</v>
      </c>
      <c r="L75" s="145"/>
      <c r="M75" s="140"/>
      <c r="N75" s="145" t="s">
        <v>943</v>
      </c>
      <c r="O75" s="145"/>
    </row>
    <row r="76" spans="1:15" x14ac:dyDescent="0.4">
      <c r="A76" s="151" t="s">
        <v>937</v>
      </c>
      <c r="B76" s="150">
        <v>9361766480</v>
      </c>
      <c r="C76" s="150" t="s">
        <v>934</v>
      </c>
      <c r="D76" s="150"/>
      <c r="E76" s="150">
        <v>2000</v>
      </c>
      <c r="F76" s="150" t="s">
        <v>934</v>
      </c>
      <c r="G76" s="150">
        <v>2000</v>
      </c>
      <c r="H76" s="150" t="s">
        <v>941</v>
      </c>
      <c r="I76" s="150"/>
      <c r="J76" s="151"/>
      <c r="K76" s="151">
        <v>605</v>
      </c>
      <c r="L76" s="151"/>
      <c r="M76" s="4"/>
      <c r="N76" s="151" t="s">
        <v>942</v>
      </c>
      <c r="O76" s="151"/>
    </row>
    <row r="77" spans="1:15" x14ac:dyDescent="0.4">
      <c r="A77" s="151" t="s">
        <v>973</v>
      </c>
      <c r="B77" s="150"/>
      <c r="C77" s="150" t="s">
        <v>951</v>
      </c>
      <c r="D77" s="150"/>
      <c r="E77" s="150"/>
      <c r="F77" s="150"/>
      <c r="G77" s="150"/>
      <c r="H77" s="150"/>
      <c r="I77" s="150"/>
      <c r="J77" s="151"/>
      <c r="K77" s="151">
        <v>540</v>
      </c>
      <c r="L77" s="151">
        <v>1</v>
      </c>
      <c r="M77" s="4"/>
      <c r="N77" s="151" t="s">
        <v>952</v>
      </c>
      <c r="O77" s="151"/>
    </row>
    <row r="78" spans="1:15" x14ac:dyDescent="0.4">
      <c r="A78" s="151" t="s">
        <v>955</v>
      </c>
      <c r="B78" s="150"/>
      <c r="C78" s="150" t="s">
        <v>951</v>
      </c>
      <c r="D78" s="150"/>
      <c r="E78" s="150">
        <v>500</v>
      </c>
      <c r="F78" s="150" t="s">
        <v>951</v>
      </c>
      <c r="G78" s="150">
        <v>500</v>
      </c>
      <c r="H78" s="150" t="s">
        <v>956</v>
      </c>
      <c r="I78" s="150" t="s">
        <v>811</v>
      </c>
      <c r="J78" s="151"/>
      <c r="K78" s="151"/>
      <c r="L78" s="151"/>
      <c r="M78" s="4"/>
      <c r="N78" s="151"/>
      <c r="O78" s="151"/>
    </row>
    <row r="79" spans="1:15" x14ac:dyDescent="0.4">
      <c r="A79" s="151" t="s">
        <v>985</v>
      </c>
      <c r="B79" s="150"/>
      <c r="C79" s="150" t="s">
        <v>953</v>
      </c>
      <c r="D79" s="150"/>
      <c r="E79" s="150"/>
      <c r="F79" s="150" t="s">
        <v>951</v>
      </c>
      <c r="G79" s="150">
        <v>2600</v>
      </c>
      <c r="H79" s="150" t="s">
        <v>941</v>
      </c>
      <c r="I79" s="150"/>
      <c r="J79" s="151"/>
      <c r="K79" s="151"/>
      <c r="L79" s="151"/>
      <c r="M79" s="4"/>
      <c r="N79" s="151"/>
      <c r="O79" s="151"/>
    </row>
    <row r="80" spans="1:15" x14ac:dyDescent="0.4">
      <c r="A80" s="151" t="s">
        <v>961</v>
      </c>
      <c r="B80" s="150"/>
      <c r="C80" s="150" t="s">
        <v>934</v>
      </c>
      <c r="D80" s="150"/>
      <c r="E80" s="150">
        <v>5000</v>
      </c>
      <c r="F80" s="196" t="s">
        <v>996</v>
      </c>
      <c r="G80" s="150">
        <v>5000</v>
      </c>
      <c r="H80" s="150" t="s">
        <v>811</v>
      </c>
      <c r="I80" s="150"/>
      <c r="J80" s="151"/>
      <c r="K80" s="151"/>
      <c r="L80" s="151"/>
      <c r="M80" s="4"/>
      <c r="N80" s="150" t="s">
        <v>957</v>
      </c>
      <c r="O80" s="151"/>
    </row>
    <row r="81" spans="1:16" x14ac:dyDescent="0.4">
      <c r="A81" s="151" t="s">
        <v>984</v>
      </c>
      <c r="B81" s="150"/>
      <c r="C81" s="150" t="s">
        <v>966</v>
      </c>
      <c r="D81" s="150"/>
      <c r="E81" s="150">
        <v>9050</v>
      </c>
      <c r="F81" s="150"/>
      <c r="G81" s="150">
        <v>9050</v>
      </c>
      <c r="H81" s="150"/>
      <c r="I81" s="150"/>
      <c r="J81" s="151"/>
      <c r="K81" s="151"/>
      <c r="L81" s="151" t="s">
        <v>969</v>
      </c>
      <c r="M81" s="151" t="s">
        <v>967</v>
      </c>
      <c r="N81" s="150"/>
      <c r="O81" s="151"/>
      <c r="P81" s="162" t="s">
        <v>968</v>
      </c>
    </row>
    <row r="82" spans="1:16" x14ac:dyDescent="0.4">
      <c r="A82" s="151" t="s">
        <v>983</v>
      </c>
      <c r="B82" s="150"/>
      <c r="C82" s="150" t="s">
        <v>964</v>
      </c>
      <c r="D82" s="150"/>
      <c r="E82" s="150">
        <v>5000</v>
      </c>
      <c r="F82" s="150"/>
      <c r="G82" s="150">
        <v>5750</v>
      </c>
      <c r="H82" s="150"/>
      <c r="I82" s="150"/>
      <c r="J82" s="151"/>
      <c r="K82" s="151">
        <v>615</v>
      </c>
      <c r="L82" s="151"/>
      <c r="M82" s="151"/>
      <c r="N82" s="150" t="s">
        <v>930</v>
      </c>
      <c r="O82" s="151"/>
    </row>
    <row r="83" spans="1:16" x14ac:dyDescent="0.4">
      <c r="A83" s="151" t="s">
        <v>1008</v>
      </c>
      <c r="B83" s="150"/>
      <c r="C83" s="150" t="s">
        <v>1007</v>
      </c>
      <c r="D83" s="150"/>
      <c r="E83" s="150">
        <v>10000</v>
      </c>
      <c r="F83" s="150" t="s">
        <v>1007</v>
      </c>
      <c r="G83" s="150">
        <v>10000</v>
      </c>
      <c r="H83" s="150" t="s">
        <v>1009</v>
      </c>
      <c r="I83" s="150"/>
      <c r="J83" s="151"/>
      <c r="K83" s="151"/>
      <c r="L83" s="151"/>
      <c r="M83" s="151"/>
      <c r="N83" s="151"/>
      <c r="O83" s="151"/>
    </row>
    <row r="84" spans="1:16" x14ac:dyDescent="0.4">
      <c r="A84" s="151" t="s">
        <v>1010</v>
      </c>
      <c r="B84" s="150"/>
      <c r="C84" s="150" t="s">
        <v>1011</v>
      </c>
      <c r="D84" s="150"/>
      <c r="E84" s="150">
        <v>2500</v>
      </c>
      <c r="F84" s="150" t="s">
        <v>1007</v>
      </c>
      <c r="G84" s="150">
        <v>2500</v>
      </c>
      <c r="H84" s="150" t="s">
        <v>1012</v>
      </c>
      <c r="I84" s="150"/>
      <c r="J84" s="151"/>
      <c r="K84" s="151"/>
      <c r="L84" s="151"/>
      <c r="M84" s="151"/>
      <c r="N84" s="151"/>
      <c r="O84" s="151"/>
    </row>
    <row r="85" spans="1:16" x14ac:dyDescent="0.4">
      <c r="A85" s="151" t="s">
        <v>1013</v>
      </c>
      <c r="B85" s="150" t="s">
        <v>1019</v>
      </c>
      <c r="C85" s="150" t="s">
        <v>1002</v>
      </c>
      <c r="D85" s="150"/>
      <c r="E85" s="150"/>
      <c r="F85" s="150"/>
      <c r="G85" s="150"/>
      <c r="H85" s="150" t="s">
        <v>1015</v>
      </c>
      <c r="I85" s="150"/>
      <c r="J85" s="151"/>
      <c r="K85" s="151"/>
      <c r="L85" s="151"/>
      <c r="M85" s="151"/>
      <c r="N85" s="151"/>
      <c r="O85" s="151"/>
    </row>
    <row r="86" spans="1:16" x14ac:dyDescent="0.4">
      <c r="A86" s="151" t="s">
        <v>1014</v>
      </c>
      <c r="B86" s="150"/>
      <c r="C86" s="150" t="s">
        <v>1002</v>
      </c>
      <c r="D86" s="150"/>
      <c r="E86" s="150">
        <v>1500</v>
      </c>
      <c r="F86" s="150"/>
      <c r="G86" s="150">
        <v>1500</v>
      </c>
      <c r="H86" s="150"/>
      <c r="I86" s="150"/>
      <c r="J86" s="151"/>
      <c r="K86" s="151"/>
      <c r="L86" s="151"/>
      <c r="M86" s="151"/>
      <c r="N86" s="151"/>
      <c r="O86" s="151"/>
    </row>
    <row r="87" spans="1:16" x14ac:dyDescent="0.4">
      <c r="A87" s="151" t="s">
        <v>1016</v>
      </c>
      <c r="B87" s="150"/>
      <c r="C87" s="150" t="s">
        <v>1017</v>
      </c>
      <c r="D87" s="150"/>
      <c r="E87" s="150">
        <v>1200</v>
      </c>
      <c r="F87" s="150" t="s">
        <v>1017</v>
      </c>
      <c r="G87" s="150">
        <v>1500</v>
      </c>
      <c r="H87" s="150" t="s">
        <v>1018</v>
      </c>
      <c r="I87" s="150"/>
      <c r="J87" s="151"/>
      <c r="K87" s="151"/>
      <c r="L87" s="151"/>
      <c r="M87" s="151"/>
      <c r="N87" s="151"/>
      <c r="O87" s="151"/>
    </row>
    <row r="88" spans="1:16" x14ac:dyDescent="0.4">
      <c r="A88" s="210"/>
      <c r="B88" s="211"/>
      <c r="C88" s="211"/>
      <c r="D88" s="211"/>
      <c r="E88" s="211"/>
      <c r="F88" s="211"/>
      <c r="G88" s="211"/>
      <c r="H88" s="211"/>
      <c r="I88" s="211"/>
      <c r="J88" s="210"/>
      <c r="K88" s="210"/>
      <c r="L88" s="210"/>
      <c r="M88" s="212"/>
    </row>
    <row r="89" spans="1:16" x14ac:dyDescent="0.4">
      <c r="A89" s="166" t="s">
        <v>66</v>
      </c>
      <c r="B89" s="150"/>
      <c r="E89" s="150"/>
      <c r="F89" s="150"/>
      <c r="I89" s="150"/>
      <c r="J89" s="151"/>
      <c r="K89" s="151"/>
      <c r="L89" s="151"/>
      <c r="M89" s="4"/>
    </row>
    <row r="90" spans="1:16" s="159" customFormat="1" x14ac:dyDescent="0.4">
      <c r="A90" s="143" t="s">
        <v>828</v>
      </c>
      <c r="B90" s="144" t="s">
        <v>829</v>
      </c>
      <c r="C90" s="144" t="s">
        <v>830</v>
      </c>
      <c r="D90" s="144" t="s">
        <v>831</v>
      </c>
      <c r="E90" s="144" t="s">
        <v>817</v>
      </c>
      <c r="F90" s="144" t="s">
        <v>819</v>
      </c>
      <c r="G90" s="143" t="s">
        <v>833</v>
      </c>
      <c r="H90" s="144" t="s">
        <v>876</v>
      </c>
      <c r="I90" s="143"/>
      <c r="J90" s="143" t="s">
        <v>872</v>
      </c>
      <c r="K90" s="143" t="s">
        <v>877</v>
      </c>
      <c r="L90" s="143" t="s">
        <v>878</v>
      </c>
      <c r="M90" s="4"/>
      <c r="N90" s="144" t="s">
        <v>69</v>
      </c>
      <c r="O90" s="144" t="s">
        <v>834</v>
      </c>
    </row>
    <row r="91" spans="1:16" s="178" customFormat="1" x14ac:dyDescent="0.4">
      <c r="A91" s="155" t="s">
        <v>187</v>
      </c>
      <c r="B91" s="155"/>
      <c r="C91" s="177" t="s">
        <v>860</v>
      </c>
      <c r="D91" s="155">
        <v>197</v>
      </c>
      <c r="E91" s="155">
        <v>25600</v>
      </c>
      <c r="F91" s="174"/>
      <c r="G91" s="174"/>
      <c r="H91" s="155"/>
      <c r="I91" s="155"/>
      <c r="J91" s="155"/>
      <c r="K91" s="174"/>
      <c r="L91" s="174">
        <v>28</v>
      </c>
      <c r="M91" s="4"/>
      <c r="N91" s="155">
        <f t="shared" ref="N91:N117" si="0">E91*18%</f>
        <v>4608</v>
      </c>
      <c r="O91" s="155">
        <f t="shared" ref="O91:O117" si="1">E91+N91</f>
        <v>30208</v>
      </c>
    </row>
    <row r="92" spans="1:16" s="194" customFormat="1" x14ac:dyDescent="0.4">
      <c r="A92" s="189" t="s">
        <v>289</v>
      </c>
      <c r="B92" s="189"/>
      <c r="C92" s="189" t="s">
        <v>450</v>
      </c>
      <c r="D92" s="189">
        <v>198</v>
      </c>
      <c r="E92" s="189">
        <v>35765</v>
      </c>
      <c r="F92" s="188" t="s">
        <v>908</v>
      </c>
      <c r="G92" s="188"/>
      <c r="H92" s="189"/>
      <c r="I92" s="189"/>
      <c r="J92" s="189"/>
      <c r="K92" s="188"/>
      <c r="L92" s="188"/>
      <c r="M92" s="191"/>
      <c r="N92" s="189">
        <f t="shared" si="0"/>
        <v>6437.7</v>
      </c>
      <c r="O92" s="189">
        <f t="shared" si="1"/>
        <v>42202.7</v>
      </c>
    </row>
    <row r="93" spans="1:16" s="194" customFormat="1" x14ac:dyDescent="0.4">
      <c r="A93" s="189" t="s">
        <v>875</v>
      </c>
      <c r="B93" s="189">
        <v>7395984542</v>
      </c>
      <c r="C93" s="193">
        <v>46056</v>
      </c>
      <c r="D93" s="189">
        <v>199</v>
      </c>
      <c r="E93" s="189">
        <v>4000</v>
      </c>
      <c r="F93" s="188" t="s">
        <v>909</v>
      </c>
      <c r="G93" s="188">
        <f>4000*118%</f>
        <v>4720</v>
      </c>
      <c r="H93" s="193">
        <v>46026</v>
      </c>
      <c r="I93" s="189" t="s">
        <v>632</v>
      </c>
      <c r="J93" s="189"/>
      <c r="K93" s="188"/>
      <c r="L93" s="188">
        <v>2</v>
      </c>
      <c r="M93" s="191"/>
      <c r="N93" s="189">
        <f t="shared" si="0"/>
        <v>720</v>
      </c>
      <c r="O93" s="189">
        <f t="shared" si="1"/>
        <v>4720</v>
      </c>
    </row>
    <row r="94" spans="1:16" s="194" customFormat="1" x14ac:dyDescent="0.4">
      <c r="A94" s="189" t="s">
        <v>416</v>
      </c>
      <c r="B94" s="189"/>
      <c r="C94" s="189" t="s">
        <v>450</v>
      </c>
      <c r="D94" s="189">
        <v>200</v>
      </c>
      <c r="E94" s="189">
        <v>14500</v>
      </c>
      <c r="F94" s="188" t="s">
        <v>908</v>
      </c>
      <c r="G94" s="188"/>
      <c r="H94" s="189"/>
      <c r="I94" s="189"/>
      <c r="J94" s="189"/>
      <c r="K94" s="188"/>
      <c r="L94" s="188">
        <v>10</v>
      </c>
      <c r="M94" s="191"/>
      <c r="N94" s="189">
        <f t="shared" si="0"/>
        <v>2610</v>
      </c>
      <c r="O94" s="189">
        <f t="shared" si="1"/>
        <v>17110</v>
      </c>
    </row>
    <row r="95" spans="1:16" s="178" customFormat="1" x14ac:dyDescent="0.4">
      <c r="A95" s="155" t="s">
        <v>406</v>
      </c>
      <c r="B95" s="155">
        <v>8428000331</v>
      </c>
      <c r="C95" s="155" t="s">
        <v>892</v>
      </c>
      <c r="D95" s="155">
        <v>201</v>
      </c>
      <c r="E95" s="155">
        <v>9900</v>
      </c>
      <c r="F95" s="174"/>
      <c r="G95" s="155"/>
      <c r="H95" s="155"/>
      <c r="I95" s="155" t="s">
        <v>822</v>
      </c>
      <c r="J95" s="155"/>
      <c r="K95" s="174"/>
      <c r="L95" s="174">
        <v>6</v>
      </c>
      <c r="M95" s="142"/>
      <c r="N95" s="155">
        <f>E95*18%</f>
        <v>1782</v>
      </c>
      <c r="O95" s="155">
        <f>E95+N95</f>
        <v>11682</v>
      </c>
    </row>
    <row r="96" spans="1:16" s="178" customFormat="1" x14ac:dyDescent="0.4">
      <c r="A96" s="155" t="s">
        <v>409</v>
      </c>
      <c r="B96" s="155"/>
      <c r="C96" s="155" t="s">
        <v>450</v>
      </c>
      <c r="D96" s="155">
        <v>202</v>
      </c>
      <c r="E96" s="155">
        <v>41469</v>
      </c>
      <c r="F96" s="155"/>
      <c r="G96" s="155"/>
      <c r="H96" s="155"/>
      <c r="I96" s="155"/>
      <c r="J96" s="155"/>
      <c r="K96" s="174"/>
      <c r="L96" s="174">
        <v>17</v>
      </c>
      <c r="M96" s="142"/>
      <c r="N96" s="155">
        <f t="shared" si="0"/>
        <v>7464.42</v>
      </c>
      <c r="O96" s="155">
        <f t="shared" si="1"/>
        <v>48933.42</v>
      </c>
    </row>
    <row r="97" spans="1:15" s="178" customFormat="1" x14ac:dyDescent="0.4">
      <c r="A97" s="155" t="s">
        <v>341</v>
      </c>
      <c r="B97" s="155"/>
      <c r="C97" s="155" t="s">
        <v>450</v>
      </c>
      <c r="D97" s="155">
        <v>203</v>
      </c>
      <c r="E97" s="155">
        <v>6000</v>
      </c>
      <c r="F97" s="155"/>
      <c r="G97" s="155"/>
      <c r="H97" s="155"/>
      <c r="I97" s="155"/>
      <c r="J97" s="155"/>
      <c r="K97" s="174"/>
      <c r="L97" s="174">
        <v>3</v>
      </c>
      <c r="M97" s="142"/>
      <c r="N97" s="155">
        <f t="shared" si="0"/>
        <v>1080</v>
      </c>
      <c r="O97" s="155">
        <f t="shared" si="1"/>
        <v>7080</v>
      </c>
    </row>
    <row r="98" spans="1:15" s="178" customFormat="1" x14ac:dyDescent="0.4">
      <c r="A98" s="155" t="s">
        <v>70</v>
      </c>
      <c r="B98" s="155"/>
      <c r="C98" s="155" t="s">
        <v>450</v>
      </c>
      <c r="D98" s="155">
        <v>204</v>
      </c>
      <c r="E98" s="155">
        <v>2800</v>
      </c>
      <c r="F98" s="155"/>
      <c r="G98" s="155"/>
      <c r="H98" s="155"/>
      <c r="I98" s="155"/>
      <c r="J98" s="155"/>
      <c r="K98" s="174"/>
      <c r="L98" s="174">
        <v>4</v>
      </c>
      <c r="M98" s="142"/>
      <c r="N98" s="155">
        <f t="shared" si="0"/>
        <v>504</v>
      </c>
      <c r="O98" s="155">
        <f t="shared" si="1"/>
        <v>3304</v>
      </c>
    </row>
    <row r="99" spans="1:15" s="194" customFormat="1" x14ac:dyDescent="0.4">
      <c r="A99" s="189" t="s">
        <v>902</v>
      </c>
      <c r="B99" s="189">
        <v>9790299900</v>
      </c>
      <c r="C99" s="193">
        <v>46145</v>
      </c>
      <c r="D99" s="189">
        <v>205</v>
      </c>
      <c r="E99" s="189">
        <v>4000</v>
      </c>
      <c r="F99" s="188" t="s">
        <v>908</v>
      </c>
      <c r="G99" s="189"/>
      <c r="H99" s="189"/>
      <c r="I99" s="189"/>
      <c r="J99" s="189"/>
      <c r="K99" s="188"/>
      <c r="L99" s="188">
        <v>1</v>
      </c>
      <c r="M99" s="191"/>
      <c r="N99" s="189">
        <f t="shared" si="0"/>
        <v>720</v>
      </c>
      <c r="O99" s="189">
        <f t="shared" si="1"/>
        <v>4720</v>
      </c>
    </row>
    <row r="100" spans="1:15" s="194" customFormat="1" x14ac:dyDescent="0.4">
      <c r="A100" s="189" t="s">
        <v>903</v>
      </c>
      <c r="B100" s="189">
        <v>8110929028</v>
      </c>
      <c r="C100" s="193">
        <v>46176</v>
      </c>
      <c r="D100" s="189">
        <v>206</v>
      </c>
      <c r="E100" s="189">
        <v>5950</v>
      </c>
      <c r="F100" s="188" t="s">
        <v>914</v>
      </c>
      <c r="G100" s="189"/>
      <c r="H100" s="189"/>
      <c r="I100" s="189"/>
      <c r="J100" s="189"/>
      <c r="K100" s="188"/>
      <c r="L100" s="188">
        <v>1</v>
      </c>
      <c r="M100" s="191"/>
      <c r="N100" s="189">
        <f t="shared" si="0"/>
        <v>1071</v>
      </c>
      <c r="O100" s="189">
        <f t="shared" si="1"/>
        <v>7021</v>
      </c>
    </row>
    <row r="101" spans="1:15" s="178" customFormat="1" ht="18.5" x14ac:dyDescent="0.45">
      <c r="A101" s="48" t="s">
        <v>791</v>
      </c>
      <c r="B101" s="39">
        <v>9952955111</v>
      </c>
      <c r="C101" s="209">
        <v>46025</v>
      </c>
      <c r="D101" s="155">
        <v>218</v>
      </c>
      <c r="E101" s="155">
        <v>2000</v>
      </c>
      <c r="F101" s="174"/>
      <c r="G101" s="155"/>
      <c r="H101" s="155"/>
      <c r="I101" s="155"/>
      <c r="J101" s="155"/>
      <c r="K101" s="174"/>
      <c r="L101" s="174">
        <v>1</v>
      </c>
      <c r="M101" s="142"/>
      <c r="N101" s="155">
        <f t="shared" si="0"/>
        <v>360</v>
      </c>
      <c r="O101" s="155">
        <f t="shared" si="1"/>
        <v>2360</v>
      </c>
    </row>
    <row r="102" spans="1:15" x14ac:dyDescent="0.4">
      <c r="A102" s="150" t="s">
        <v>459</v>
      </c>
      <c r="B102" s="150"/>
      <c r="C102" s="150" t="s">
        <v>893</v>
      </c>
      <c r="D102" s="150"/>
      <c r="E102" s="150">
        <v>4000</v>
      </c>
      <c r="F102" s="150"/>
      <c r="G102" s="150"/>
      <c r="H102" s="150"/>
      <c r="I102" s="150"/>
      <c r="J102" s="150"/>
      <c r="K102" s="151"/>
      <c r="L102" s="151">
        <v>2</v>
      </c>
      <c r="M102" s="4"/>
      <c r="N102" s="150">
        <f t="shared" si="0"/>
        <v>720</v>
      </c>
      <c r="O102" s="150">
        <f t="shared" si="1"/>
        <v>4720</v>
      </c>
    </row>
    <row r="103" spans="1:15" s="178" customFormat="1" x14ac:dyDescent="0.4">
      <c r="A103" s="155" t="s">
        <v>434</v>
      </c>
      <c r="B103" s="155"/>
      <c r="C103" s="155" t="s">
        <v>893</v>
      </c>
      <c r="D103" s="155">
        <v>210</v>
      </c>
      <c r="E103" s="155">
        <v>14475</v>
      </c>
      <c r="F103" s="155" t="s">
        <v>229</v>
      </c>
      <c r="G103" s="155"/>
      <c r="H103" s="155"/>
      <c r="I103" s="155"/>
      <c r="J103" s="155"/>
      <c r="K103" s="174"/>
      <c r="L103" s="174">
        <v>8</v>
      </c>
      <c r="M103" s="142"/>
      <c r="N103" s="155">
        <f t="shared" si="0"/>
        <v>2605.5</v>
      </c>
      <c r="O103" s="155">
        <f t="shared" si="1"/>
        <v>17080.5</v>
      </c>
    </row>
    <row r="104" spans="1:15" s="178" customFormat="1" x14ac:dyDescent="0.4">
      <c r="A104" s="155" t="s">
        <v>701</v>
      </c>
      <c r="B104" s="155">
        <v>7794025725</v>
      </c>
      <c r="C104" s="155" t="s">
        <v>708</v>
      </c>
      <c r="D104" s="155">
        <v>207</v>
      </c>
      <c r="E104" s="155">
        <v>17300</v>
      </c>
      <c r="F104" s="155" t="s">
        <v>975</v>
      </c>
      <c r="G104" s="155"/>
      <c r="H104" s="155"/>
      <c r="I104" s="155"/>
      <c r="J104" s="155"/>
      <c r="K104" s="174"/>
      <c r="L104" s="174">
        <v>10</v>
      </c>
      <c r="M104" s="142"/>
      <c r="N104" s="155">
        <f t="shared" si="0"/>
        <v>3114</v>
      </c>
      <c r="O104" s="155">
        <f t="shared" si="1"/>
        <v>20414</v>
      </c>
    </row>
    <row r="105" spans="1:15" s="178" customFormat="1" x14ac:dyDescent="0.4">
      <c r="A105" s="155" t="s">
        <v>709</v>
      </c>
      <c r="B105" s="155">
        <v>9043035545</v>
      </c>
      <c r="C105" s="155" t="s">
        <v>707</v>
      </c>
      <c r="D105" s="155">
        <v>211</v>
      </c>
      <c r="E105" s="155">
        <v>16000</v>
      </c>
      <c r="F105" s="155"/>
      <c r="G105" s="155"/>
      <c r="H105" s="155"/>
      <c r="I105" s="155"/>
      <c r="J105" s="155"/>
      <c r="K105" s="174"/>
      <c r="L105" s="174">
        <v>1</v>
      </c>
      <c r="M105" s="142"/>
      <c r="N105" s="155">
        <f t="shared" si="0"/>
        <v>2880</v>
      </c>
      <c r="O105" s="155">
        <f t="shared" si="1"/>
        <v>18880</v>
      </c>
    </row>
    <row r="106" spans="1:15" s="178" customFormat="1" ht="16.5" customHeight="1" x14ac:dyDescent="0.4">
      <c r="A106" s="155" t="s">
        <v>604</v>
      </c>
      <c r="B106" s="155">
        <v>9442130825</v>
      </c>
      <c r="C106" s="155" t="s">
        <v>707</v>
      </c>
      <c r="D106" s="155">
        <v>212</v>
      </c>
      <c r="E106" s="155">
        <v>12500</v>
      </c>
      <c r="F106" s="155"/>
      <c r="G106" s="155"/>
      <c r="H106" s="155"/>
      <c r="I106" s="155"/>
      <c r="J106" s="155"/>
      <c r="K106" s="174"/>
      <c r="L106" s="174">
        <v>2</v>
      </c>
      <c r="M106" s="142"/>
      <c r="N106" s="155">
        <f t="shared" si="0"/>
        <v>2250</v>
      </c>
      <c r="O106" s="155">
        <f t="shared" si="1"/>
        <v>14750</v>
      </c>
    </row>
    <row r="107" spans="1:15" s="178" customFormat="1" x14ac:dyDescent="0.4">
      <c r="A107" s="155" t="s">
        <v>835</v>
      </c>
      <c r="B107" s="155"/>
      <c r="C107" s="155" t="s">
        <v>795</v>
      </c>
      <c r="D107" s="155"/>
      <c r="E107" s="155">
        <v>10000</v>
      </c>
      <c r="F107" s="155"/>
      <c r="G107" s="155"/>
      <c r="H107" s="155"/>
      <c r="I107" s="155"/>
      <c r="J107" s="155"/>
      <c r="K107" s="174"/>
      <c r="L107" s="174">
        <v>5</v>
      </c>
      <c r="M107" s="142"/>
      <c r="N107" s="155">
        <f t="shared" si="0"/>
        <v>1800</v>
      </c>
      <c r="O107" s="155">
        <f t="shared" si="1"/>
        <v>11800</v>
      </c>
    </row>
    <row r="108" spans="1:15" s="204" customFormat="1" x14ac:dyDescent="0.4">
      <c r="A108" s="201" t="s">
        <v>839</v>
      </c>
      <c r="B108" s="201">
        <v>7358293699</v>
      </c>
      <c r="C108" s="201"/>
      <c r="D108" s="201"/>
      <c r="E108" s="201">
        <v>1000</v>
      </c>
      <c r="F108" s="201" t="s">
        <v>229</v>
      </c>
      <c r="G108" s="201"/>
      <c r="H108" s="201" t="s">
        <v>894</v>
      </c>
      <c r="I108" s="201"/>
      <c r="J108" s="201"/>
      <c r="K108" s="202"/>
      <c r="L108" s="202"/>
      <c r="M108" s="203"/>
      <c r="N108" s="201">
        <f t="shared" si="0"/>
        <v>180</v>
      </c>
      <c r="O108" s="201">
        <f t="shared" si="1"/>
        <v>1180</v>
      </c>
    </row>
    <row r="109" spans="1:15" s="178" customFormat="1" x14ac:dyDescent="0.4">
      <c r="A109" s="155" t="s">
        <v>405</v>
      </c>
      <c r="B109" s="155"/>
      <c r="C109" s="155" t="s">
        <v>852</v>
      </c>
      <c r="D109" s="155"/>
      <c r="E109" s="155">
        <v>1400</v>
      </c>
      <c r="F109" s="155" t="s">
        <v>964</v>
      </c>
      <c r="G109" s="155">
        <v>1652</v>
      </c>
      <c r="H109" s="155"/>
      <c r="I109" s="155"/>
      <c r="J109" s="155"/>
      <c r="K109" s="174"/>
      <c r="L109" s="174">
        <v>1</v>
      </c>
      <c r="M109" s="142"/>
      <c r="N109" s="155">
        <f t="shared" si="0"/>
        <v>252</v>
      </c>
      <c r="O109" s="155">
        <f t="shared" si="1"/>
        <v>1652</v>
      </c>
    </row>
    <row r="110" spans="1:15" s="178" customFormat="1" x14ac:dyDescent="0.4">
      <c r="A110" s="155" t="s">
        <v>405</v>
      </c>
      <c r="B110" s="155"/>
      <c r="C110" s="155" t="s">
        <v>972</v>
      </c>
      <c r="D110" s="155"/>
      <c r="E110" s="155">
        <v>2800</v>
      </c>
      <c r="F110" s="155"/>
      <c r="G110" s="155"/>
      <c r="H110" s="155"/>
      <c r="I110" s="155"/>
      <c r="J110" s="155"/>
      <c r="K110" s="174"/>
      <c r="L110" s="174">
        <v>2</v>
      </c>
      <c r="M110" s="142"/>
      <c r="N110" s="155"/>
      <c r="O110" s="155"/>
    </row>
    <row r="111" spans="1:15" x14ac:dyDescent="0.4">
      <c r="A111" s="150" t="s">
        <v>836</v>
      </c>
      <c r="B111" s="150"/>
      <c r="C111" s="150" t="s">
        <v>1000</v>
      </c>
      <c r="D111" s="150"/>
      <c r="E111" s="150">
        <v>3000</v>
      </c>
      <c r="F111" s="150"/>
      <c r="G111" s="150"/>
      <c r="H111" s="150"/>
      <c r="I111" s="150"/>
      <c r="J111" s="150"/>
      <c r="K111" s="151"/>
      <c r="L111" s="151">
        <v>1</v>
      </c>
      <c r="M111" s="4"/>
      <c r="N111" s="150"/>
      <c r="O111" s="150"/>
    </row>
    <row r="112" spans="1:15" x14ac:dyDescent="0.4">
      <c r="A112" s="150" t="s">
        <v>836</v>
      </c>
      <c r="B112" s="150"/>
      <c r="C112" s="150" t="s">
        <v>999</v>
      </c>
      <c r="D112" s="150"/>
      <c r="E112" s="150">
        <v>29400</v>
      </c>
      <c r="F112" s="150"/>
      <c r="G112" s="150"/>
      <c r="H112" s="150"/>
      <c r="I112" s="150"/>
      <c r="J112" s="150"/>
      <c r="K112" s="151"/>
      <c r="L112" s="151">
        <v>17</v>
      </c>
      <c r="M112" s="4"/>
      <c r="N112" s="150"/>
      <c r="O112" s="150"/>
    </row>
    <row r="113" spans="1:15" x14ac:dyDescent="0.4">
      <c r="A113" s="150" t="s">
        <v>836</v>
      </c>
      <c r="B113" s="150"/>
      <c r="C113" s="150" t="s">
        <v>852</v>
      </c>
      <c r="D113" s="150"/>
      <c r="E113" s="150">
        <v>36800</v>
      </c>
      <c r="F113" s="150" t="s">
        <v>954</v>
      </c>
      <c r="G113" s="150">
        <v>15000</v>
      </c>
      <c r="H113" s="150"/>
      <c r="I113" s="150"/>
      <c r="J113" s="150"/>
      <c r="K113" s="151"/>
      <c r="L113" s="151">
        <v>16</v>
      </c>
      <c r="M113" s="4"/>
      <c r="N113" s="150">
        <f t="shared" si="0"/>
        <v>6624</v>
      </c>
      <c r="O113" s="150">
        <f t="shared" si="1"/>
        <v>43424</v>
      </c>
    </row>
    <row r="114" spans="1:15" s="178" customFormat="1" x14ac:dyDescent="0.4">
      <c r="A114" s="155" t="s">
        <v>454</v>
      </c>
      <c r="B114" s="155"/>
      <c r="C114" s="155" t="s">
        <v>847</v>
      </c>
      <c r="D114" s="155"/>
      <c r="E114" s="155">
        <v>2100</v>
      </c>
      <c r="F114" s="155"/>
      <c r="G114" s="155"/>
      <c r="H114" s="155" t="s">
        <v>1001</v>
      </c>
      <c r="I114" s="155"/>
      <c r="J114" s="155"/>
      <c r="K114" s="174"/>
      <c r="L114" s="174">
        <v>1</v>
      </c>
      <c r="M114" s="142"/>
      <c r="N114" s="155">
        <f t="shared" si="0"/>
        <v>378</v>
      </c>
      <c r="O114" s="155">
        <f t="shared" si="1"/>
        <v>2478</v>
      </c>
    </row>
    <row r="115" spans="1:15" x14ac:dyDescent="0.4">
      <c r="A115" s="150" t="s">
        <v>520</v>
      </c>
      <c r="B115" s="150"/>
      <c r="C115" s="150" t="s">
        <v>846</v>
      </c>
      <c r="D115" s="150"/>
      <c r="E115" s="150">
        <v>41746</v>
      </c>
      <c r="F115" s="150"/>
      <c r="G115" s="150"/>
      <c r="H115" s="150"/>
      <c r="I115" s="150"/>
      <c r="J115" s="150"/>
      <c r="K115" s="151"/>
      <c r="L115" s="151">
        <v>7</v>
      </c>
      <c r="M115" s="4"/>
      <c r="N115" s="150">
        <f t="shared" si="0"/>
        <v>7514.28</v>
      </c>
      <c r="O115" s="150">
        <f t="shared" si="1"/>
        <v>49260.28</v>
      </c>
    </row>
    <row r="116" spans="1:15" s="216" customFormat="1" x14ac:dyDescent="0.4">
      <c r="A116" s="213" t="s">
        <v>850</v>
      </c>
      <c r="B116" s="213"/>
      <c r="C116" s="213" t="s">
        <v>851</v>
      </c>
      <c r="D116" s="213"/>
      <c r="E116" s="213">
        <v>5200</v>
      </c>
      <c r="F116" s="213"/>
      <c r="G116" s="213"/>
      <c r="H116" s="213"/>
      <c r="I116" s="213"/>
      <c r="J116" s="213"/>
      <c r="K116" s="214"/>
      <c r="L116" s="214">
        <v>1</v>
      </c>
      <c r="M116" s="215"/>
      <c r="N116" s="213">
        <f t="shared" si="0"/>
        <v>936</v>
      </c>
      <c r="O116" s="213">
        <f t="shared" si="1"/>
        <v>6136</v>
      </c>
    </row>
    <row r="117" spans="1:15" x14ac:dyDescent="0.4">
      <c r="A117" s="150" t="s">
        <v>291</v>
      </c>
      <c r="B117" s="150"/>
      <c r="C117" s="150" t="s">
        <v>998</v>
      </c>
      <c r="D117" s="150"/>
      <c r="E117" s="150">
        <v>2500</v>
      </c>
      <c r="F117" s="150"/>
      <c r="G117" s="150"/>
      <c r="H117" s="153"/>
      <c r="I117" s="179"/>
      <c r="J117" s="153"/>
      <c r="K117" s="151"/>
      <c r="L117" s="151">
        <v>1</v>
      </c>
      <c r="M117" s="4"/>
      <c r="N117" s="150">
        <f t="shared" si="0"/>
        <v>450</v>
      </c>
      <c r="O117" s="150">
        <f t="shared" si="1"/>
        <v>2950</v>
      </c>
    </row>
    <row r="118" spans="1:15" x14ac:dyDescent="0.4">
      <c r="A118" s="143" t="s">
        <v>828</v>
      </c>
      <c r="B118" s="144" t="s">
        <v>829</v>
      </c>
      <c r="C118" s="144" t="s">
        <v>830</v>
      </c>
      <c r="D118" s="144" t="s">
        <v>831</v>
      </c>
      <c r="E118" s="144" t="s">
        <v>817</v>
      </c>
      <c r="F118" s="144" t="s">
        <v>819</v>
      </c>
      <c r="G118" s="143" t="s">
        <v>833</v>
      </c>
      <c r="H118" s="144" t="s">
        <v>876</v>
      </c>
      <c r="I118" s="143"/>
      <c r="J118" s="143" t="s">
        <v>872</v>
      </c>
      <c r="K118" s="143" t="s">
        <v>877</v>
      </c>
      <c r="L118" s="143" t="s">
        <v>878</v>
      </c>
      <c r="M118" s="4"/>
      <c r="N118" s="144" t="s">
        <v>69</v>
      </c>
      <c r="O118" s="144" t="s">
        <v>834</v>
      </c>
    </row>
    <row r="119" spans="1:15" x14ac:dyDescent="0.4">
      <c r="A119" s="170" t="s">
        <v>916</v>
      </c>
      <c r="B119" s="171"/>
      <c r="C119" s="168"/>
      <c r="D119" s="168"/>
      <c r="E119" s="168"/>
      <c r="F119" s="168"/>
      <c r="G119" s="168"/>
      <c r="H119" s="168"/>
      <c r="I119" s="168"/>
      <c r="J119" s="169"/>
      <c r="K119" s="168"/>
      <c r="L119" s="162">
        <v>7</v>
      </c>
    </row>
    <row r="124" spans="1:15" x14ac:dyDescent="0.4">
      <c r="M124" s="162">
        <v>16</v>
      </c>
    </row>
  </sheetData>
  <autoFilter ref="A1:P87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9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C53" sqref="C53"/>
    </sheetView>
  </sheetViews>
  <sheetFormatPr defaultColWidth="9.1796875" defaultRowHeight="17" x14ac:dyDescent="0.4"/>
  <cols>
    <col min="1" max="1" width="52.1796875" style="162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11.453125" style="172" bestFit="1" customWidth="1"/>
    <col min="6" max="6" width="13.81640625" style="172" bestFit="1" customWidth="1"/>
    <col min="7" max="7" width="14" style="172" customWidth="1"/>
    <col min="8" max="8" width="26.54296875" style="172" customWidth="1"/>
    <col min="9" max="9" width="29.54296875" style="172" bestFit="1" customWidth="1"/>
    <col min="10" max="10" width="12.54296875" style="162" customWidth="1"/>
    <col min="11" max="11" width="17.54296875" style="162" bestFit="1" customWidth="1"/>
    <col min="12" max="12" width="9.1796875" style="162"/>
    <col min="13" max="13" width="20.1796875" style="162" bestFit="1" customWidth="1"/>
    <col min="14" max="16384" width="9.1796875" style="162"/>
  </cols>
  <sheetData>
    <row r="1" spans="1:76" s="159" customFormat="1" ht="17.25" x14ac:dyDescent="0.3">
      <c r="A1" s="144" t="s">
        <v>188</v>
      </c>
      <c r="B1" s="144" t="s">
        <v>815</v>
      </c>
      <c r="C1" s="144" t="s">
        <v>816</v>
      </c>
      <c r="D1" s="144" t="s">
        <v>891</v>
      </c>
      <c r="E1" s="144" t="s">
        <v>817</v>
      </c>
      <c r="F1" s="144" t="s">
        <v>1037</v>
      </c>
      <c r="G1" s="144" t="s">
        <v>1038</v>
      </c>
      <c r="H1" s="144" t="s">
        <v>1036</v>
      </c>
      <c r="I1" s="144" t="s">
        <v>1040</v>
      </c>
      <c r="J1" s="143" t="s">
        <v>872</v>
      </c>
      <c r="K1" s="143" t="s">
        <v>881</v>
      </c>
      <c r="L1" s="143" t="s">
        <v>878</v>
      </c>
      <c r="M1" s="143" t="s">
        <v>879</v>
      </c>
      <c r="N1" s="158" t="s">
        <v>899</v>
      </c>
      <c r="O1" s="158"/>
    </row>
    <row r="2" spans="1:76" s="51" customFormat="1" ht="18.75" x14ac:dyDescent="0.3">
      <c r="A2" s="157" t="s">
        <v>0</v>
      </c>
      <c r="B2" s="152">
        <v>7299917887</v>
      </c>
      <c r="C2" s="152" t="s">
        <v>860</v>
      </c>
      <c r="D2" s="152"/>
      <c r="E2" s="152">
        <v>18300</v>
      </c>
      <c r="F2" s="152"/>
      <c r="G2" s="173"/>
      <c r="H2" s="152"/>
      <c r="I2" s="152"/>
      <c r="J2" s="74"/>
      <c r="K2" s="74"/>
      <c r="L2" s="205">
        <v>15</v>
      </c>
      <c r="M2" s="205" t="s">
        <v>895</v>
      </c>
      <c r="N2" s="205"/>
      <c r="O2" s="205"/>
    </row>
    <row r="3" spans="1:76" s="220" customFormat="1" ht="17.25" x14ac:dyDescent="0.3">
      <c r="A3" s="218" t="s">
        <v>36</v>
      </c>
      <c r="B3" s="195">
        <v>7904401435</v>
      </c>
      <c r="C3" s="195" t="s">
        <v>23</v>
      </c>
      <c r="D3" s="195"/>
      <c r="E3" s="195">
        <v>1750</v>
      </c>
      <c r="F3" s="195"/>
      <c r="G3" s="195"/>
      <c r="H3" s="195"/>
      <c r="I3" s="183"/>
      <c r="J3" s="218"/>
      <c r="K3" s="218"/>
      <c r="L3" s="218">
        <v>1</v>
      </c>
      <c r="M3" s="219">
        <v>1750</v>
      </c>
      <c r="N3" s="218"/>
      <c r="O3" s="218"/>
    </row>
    <row r="4" spans="1:76" s="165" customFormat="1" ht="17.25" x14ac:dyDescent="0.3">
      <c r="A4" s="157" t="s">
        <v>248</v>
      </c>
      <c r="B4" s="152">
        <v>7550283099</v>
      </c>
      <c r="C4" s="152" t="s">
        <v>44</v>
      </c>
      <c r="D4" s="152"/>
      <c r="E4" s="152">
        <v>6800</v>
      </c>
      <c r="F4" s="221"/>
      <c r="G4" s="147"/>
      <c r="H4" s="152"/>
      <c r="I4" s="152"/>
      <c r="J4" s="157"/>
      <c r="K4" s="157"/>
      <c r="L4" s="157">
        <v>4</v>
      </c>
      <c r="M4" s="205" t="s">
        <v>944</v>
      </c>
      <c r="N4" s="157"/>
      <c r="O4" s="157"/>
    </row>
    <row r="5" spans="1:76" s="51" customFormat="1" ht="18.75" x14ac:dyDescent="0.3">
      <c r="A5" s="157" t="s">
        <v>989</v>
      </c>
      <c r="B5" s="152"/>
      <c r="C5" s="152" t="s">
        <v>5</v>
      </c>
      <c r="D5" s="152"/>
      <c r="E5" s="152">
        <v>3000</v>
      </c>
      <c r="F5" s="221">
        <v>46207</v>
      </c>
      <c r="G5" s="147">
        <v>3000</v>
      </c>
      <c r="H5" s="152" t="s">
        <v>47</v>
      </c>
      <c r="I5" s="152"/>
      <c r="J5" s="74"/>
      <c r="K5" s="74"/>
      <c r="L5" s="205">
        <v>1</v>
      </c>
      <c r="M5" s="205">
        <v>3000</v>
      </c>
      <c r="N5" s="205"/>
      <c r="O5" s="205"/>
    </row>
    <row r="6" spans="1:76" s="51" customFormat="1" ht="18.75" x14ac:dyDescent="0.3">
      <c r="A6" s="157" t="s">
        <v>988</v>
      </c>
      <c r="B6" s="152">
        <v>7904622354</v>
      </c>
      <c r="C6" s="152" t="s">
        <v>46</v>
      </c>
      <c r="D6" s="152">
        <v>3000</v>
      </c>
      <c r="E6" s="152">
        <v>3000</v>
      </c>
      <c r="F6" s="221">
        <v>46269</v>
      </c>
      <c r="G6" s="152">
        <v>6000</v>
      </c>
      <c r="H6" s="152" t="s">
        <v>47</v>
      </c>
      <c r="I6" s="152"/>
      <c r="J6" s="74"/>
      <c r="K6" s="74"/>
      <c r="L6" s="205">
        <v>1</v>
      </c>
      <c r="M6" s="205">
        <v>3000</v>
      </c>
      <c r="N6" s="205"/>
      <c r="O6" s="205"/>
      <c r="BR6" s="220"/>
      <c r="BS6" s="220"/>
      <c r="BT6" s="220"/>
      <c r="BU6" s="220"/>
      <c r="BV6" s="220"/>
      <c r="BW6" s="220"/>
      <c r="BX6" s="220"/>
    </row>
    <row r="7" spans="1:76" s="220" customFormat="1" ht="17.25" x14ac:dyDescent="0.3">
      <c r="A7" s="218" t="s">
        <v>60</v>
      </c>
      <c r="B7" s="195">
        <v>8925124442</v>
      </c>
      <c r="C7" s="222">
        <v>45661</v>
      </c>
      <c r="D7" s="195">
        <v>5000</v>
      </c>
      <c r="E7" s="195">
        <v>1500</v>
      </c>
      <c r="F7" s="195"/>
      <c r="G7" s="183"/>
      <c r="H7" s="195"/>
      <c r="I7" s="183"/>
      <c r="J7" s="223"/>
      <c r="K7" s="218"/>
      <c r="L7" s="218">
        <v>1</v>
      </c>
      <c r="M7" s="205">
        <v>1500</v>
      </c>
      <c r="N7" s="218"/>
      <c r="O7" s="218"/>
      <c r="BR7" s="165"/>
      <c r="BS7" s="165"/>
      <c r="BT7" s="165"/>
      <c r="BU7" s="165"/>
      <c r="BV7" s="165"/>
      <c r="BW7" s="165"/>
      <c r="BX7" s="165"/>
    </row>
    <row r="8" spans="1:76" s="165" customFormat="1" ht="17.25" x14ac:dyDescent="0.3">
      <c r="A8" s="157" t="s">
        <v>223</v>
      </c>
      <c r="B8" s="152">
        <v>8148141825</v>
      </c>
      <c r="C8" s="152" t="s">
        <v>106</v>
      </c>
      <c r="D8" s="152"/>
      <c r="E8" s="195">
        <v>5000</v>
      </c>
      <c r="F8" s="152" t="s">
        <v>1166</v>
      </c>
      <c r="G8" s="147">
        <v>4800</v>
      </c>
      <c r="H8" s="152" t="s">
        <v>439</v>
      </c>
      <c r="I8" s="152"/>
      <c r="J8" s="157"/>
      <c r="K8" s="157"/>
      <c r="L8" s="157">
        <v>3</v>
      </c>
      <c r="M8" s="205" t="s">
        <v>945</v>
      </c>
      <c r="N8" s="157"/>
      <c r="O8" s="157"/>
    </row>
    <row r="9" spans="1:76" s="51" customFormat="1" ht="18.75" x14ac:dyDescent="0.3">
      <c r="A9" s="157" t="s">
        <v>160</v>
      </c>
      <c r="B9" s="152">
        <v>8825663180</v>
      </c>
      <c r="C9" s="152" t="s">
        <v>161</v>
      </c>
      <c r="D9" s="152"/>
      <c r="E9" s="152">
        <v>1750</v>
      </c>
      <c r="F9" s="152" t="s">
        <v>1110</v>
      </c>
      <c r="G9" s="147">
        <v>1750</v>
      </c>
      <c r="H9" s="152" t="s">
        <v>439</v>
      </c>
      <c r="I9" s="152"/>
      <c r="J9" s="74"/>
      <c r="K9" s="74"/>
      <c r="L9" s="157">
        <v>1</v>
      </c>
      <c r="M9" s="205">
        <v>1750</v>
      </c>
      <c r="N9" s="205"/>
      <c r="O9" s="205"/>
    </row>
    <row r="10" spans="1:76" s="51" customFormat="1" ht="18.75" x14ac:dyDescent="0.3">
      <c r="A10" s="157" t="s">
        <v>7</v>
      </c>
      <c r="B10" s="152">
        <v>9840168557</v>
      </c>
      <c r="C10" s="152" t="s">
        <v>1075</v>
      </c>
      <c r="D10" s="152"/>
      <c r="E10" s="152">
        <v>4000</v>
      </c>
      <c r="F10" s="152" t="s">
        <v>1150</v>
      </c>
      <c r="G10" s="147">
        <v>4000</v>
      </c>
      <c r="H10" s="152" t="s">
        <v>177</v>
      </c>
      <c r="I10" s="152"/>
      <c r="J10" s="74"/>
      <c r="K10" s="74"/>
      <c r="L10" s="205">
        <v>2</v>
      </c>
      <c r="M10" s="205">
        <v>2000</v>
      </c>
      <c r="N10" s="205"/>
      <c r="O10" s="205"/>
    </row>
    <row r="11" spans="1:76" s="165" customFormat="1" ht="17.25" x14ac:dyDescent="0.3">
      <c r="A11" s="157" t="s">
        <v>266</v>
      </c>
      <c r="B11" s="152">
        <v>6385458304</v>
      </c>
      <c r="C11" s="152" t="s">
        <v>259</v>
      </c>
      <c r="D11" s="152"/>
      <c r="E11" s="152">
        <v>2200</v>
      </c>
      <c r="F11" s="221">
        <v>46058</v>
      </c>
      <c r="G11" s="147">
        <v>2200</v>
      </c>
      <c r="H11" s="152" t="s">
        <v>439</v>
      </c>
      <c r="I11" s="152" t="s">
        <v>1291</v>
      </c>
      <c r="J11" s="157"/>
      <c r="K11" s="157"/>
      <c r="L11" s="205">
        <v>1</v>
      </c>
      <c r="M11" s="205">
        <v>2200</v>
      </c>
      <c r="N11" s="157"/>
      <c r="O11" s="157"/>
    </row>
    <row r="12" spans="1:76" s="51" customFormat="1" ht="18.75" x14ac:dyDescent="0.3">
      <c r="A12" s="157" t="s">
        <v>987</v>
      </c>
      <c r="B12" s="152">
        <v>9791050538</v>
      </c>
      <c r="C12" s="152" t="s">
        <v>279</v>
      </c>
      <c r="D12" s="152"/>
      <c r="E12" s="152">
        <v>3400</v>
      </c>
      <c r="F12" s="221" t="s">
        <v>1133</v>
      </c>
      <c r="G12" s="147">
        <v>3400</v>
      </c>
      <c r="H12" s="152" t="s">
        <v>439</v>
      </c>
      <c r="I12" s="152"/>
      <c r="J12" s="224"/>
      <c r="K12" s="74"/>
      <c r="L12" s="205">
        <v>1</v>
      </c>
      <c r="M12" s="205">
        <v>3400</v>
      </c>
      <c r="N12" s="205"/>
      <c r="O12" s="205"/>
    </row>
    <row r="13" spans="1:76" s="227" customFormat="1" ht="17.25" x14ac:dyDescent="0.3">
      <c r="A13" s="225" t="s">
        <v>767</v>
      </c>
      <c r="B13" s="147">
        <v>8925023082</v>
      </c>
      <c r="C13" s="147" t="s">
        <v>294</v>
      </c>
      <c r="D13" s="147"/>
      <c r="E13" s="147"/>
      <c r="F13" s="147"/>
      <c r="G13" s="147"/>
      <c r="H13" s="147"/>
      <c r="I13" s="147" t="s">
        <v>822</v>
      </c>
      <c r="J13" s="226"/>
      <c r="K13" s="225"/>
      <c r="L13" s="225">
        <v>8</v>
      </c>
      <c r="M13" s="205">
        <v>2100</v>
      </c>
      <c r="N13" s="225"/>
      <c r="O13" s="225"/>
    </row>
    <row r="14" spans="1:76" s="165" customFormat="1" ht="17.25" x14ac:dyDescent="0.3">
      <c r="A14" s="157" t="s">
        <v>330</v>
      </c>
      <c r="B14" s="152">
        <v>9884664943</v>
      </c>
      <c r="C14" s="152" t="s">
        <v>329</v>
      </c>
      <c r="D14" s="152"/>
      <c r="E14" s="152">
        <v>2000</v>
      </c>
      <c r="F14" s="221" t="s">
        <v>1150</v>
      </c>
      <c r="G14" s="152">
        <v>2000</v>
      </c>
      <c r="H14" s="152" t="s">
        <v>439</v>
      </c>
      <c r="I14" s="152"/>
      <c r="J14" s="157"/>
      <c r="K14" s="157"/>
      <c r="L14" s="157">
        <v>1</v>
      </c>
      <c r="M14" s="205">
        <v>2000</v>
      </c>
      <c r="N14" s="157"/>
      <c r="O14" s="157"/>
    </row>
    <row r="15" spans="1:76" s="51" customFormat="1" ht="18.75" x14ac:dyDescent="0.3">
      <c r="A15" s="157" t="s">
        <v>343</v>
      </c>
      <c r="B15" s="152">
        <v>9940440423</v>
      </c>
      <c r="C15" s="152" t="s">
        <v>337</v>
      </c>
      <c r="D15" s="152"/>
      <c r="E15" s="152">
        <v>1800</v>
      </c>
      <c r="F15" s="221">
        <v>46116</v>
      </c>
      <c r="G15" s="147">
        <v>1800</v>
      </c>
      <c r="H15" s="152" t="s">
        <v>439</v>
      </c>
      <c r="I15" s="152"/>
      <c r="J15" s="74"/>
      <c r="K15" s="74"/>
      <c r="L15" s="205">
        <v>1</v>
      </c>
      <c r="M15" s="205">
        <v>1800</v>
      </c>
      <c r="N15" s="205"/>
      <c r="O15" s="205"/>
    </row>
    <row r="16" spans="1:76" s="165" customFormat="1" ht="17.25" x14ac:dyDescent="0.3">
      <c r="A16" s="157" t="s">
        <v>349</v>
      </c>
      <c r="B16" s="152">
        <v>9884873355</v>
      </c>
      <c r="C16" s="152" t="s">
        <v>353</v>
      </c>
      <c r="D16" s="152">
        <f>14762+4600</f>
        <v>19362</v>
      </c>
      <c r="E16" s="152">
        <v>4600</v>
      </c>
      <c r="F16" s="221">
        <v>46027</v>
      </c>
      <c r="G16" s="147">
        <v>10000</v>
      </c>
      <c r="H16" s="152" t="s">
        <v>47</v>
      </c>
      <c r="I16" s="152"/>
      <c r="J16" s="157"/>
      <c r="K16" s="157"/>
      <c r="L16" s="157">
        <v>2</v>
      </c>
      <c r="M16" s="205" t="s">
        <v>946</v>
      </c>
      <c r="N16" s="157"/>
      <c r="O16" s="157"/>
    </row>
    <row r="17" spans="1:15" s="165" customFormat="1" ht="17.25" x14ac:dyDescent="0.3">
      <c r="A17" s="157" t="s">
        <v>940</v>
      </c>
      <c r="B17" s="152">
        <v>9042264206</v>
      </c>
      <c r="C17" s="152" t="s">
        <v>351</v>
      </c>
      <c r="D17" s="152">
        <v>2750</v>
      </c>
      <c r="E17" s="152">
        <v>4250</v>
      </c>
      <c r="F17" s="152"/>
      <c r="G17" s="147"/>
      <c r="H17" s="152"/>
      <c r="I17" s="152"/>
      <c r="J17" s="157"/>
      <c r="K17" s="157" t="s">
        <v>882</v>
      </c>
      <c r="L17" s="157">
        <v>1</v>
      </c>
      <c r="M17" s="205">
        <v>4250</v>
      </c>
      <c r="N17" s="157"/>
      <c r="O17" s="157"/>
    </row>
    <row r="18" spans="1:15" s="51" customFormat="1" ht="18.75" x14ac:dyDescent="0.3">
      <c r="A18" s="157" t="s">
        <v>993</v>
      </c>
      <c r="B18" s="152">
        <v>8870042240</v>
      </c>
      <c r="C18" s="152" t="s">
        <v>399</v>
      </c>
      <c r="D18" s="152"/>
      <c r="E18" s="152">
        <v>3500</v>
      </c>
      <c r="F18" s="152"/>
      <c r="G18" s="147"/>
      <c r="H18" s="152"/>
      <c r="I18" s="152"/>
      <c r="J18" s="74"/>
      <c r="K18" s="74"/>
      <c r="L18" s="205">
        <v>1</v>
      </c>
      <c r="M18" s="205">
        <v>3500</v>
      </c>
      <c r="N18" s="205"/>
      <c r="O18" s="205"/>
    </row>
    <row r="19" spans="1:15" s="51" customFormat="1" ht="17.25" x14ac:dyDescent="0.3">
      <c r="A19" s="157" t="s">
        <v>979</v>
      </c>
      <c r="B19" s="152">
        <v>9032291673</v>
      </c>
      <c r="C19" s="152" t="s">
        <v>389</v>
      </c>
      <c r="D19" s="152"/>
      <c r="E19" s="152">
        <v>1600</v>
      </c>
      <c r="F19" s="152" t="s">
        <v>1133</v>
      </c>
      <c r="G19" s="147">
        <v>1600</v>
      </c>
      <c r="H19" s="152" t="s">
        <v>439</v>
      </c>
      <c r="I19" s="152"/>
      <c r="J19" s="228"/>
      <c r="K19" s="228"/>
      <c r="L19" s="228">
        <v>1</v>
      </c>
      <c r="M19" s="205">
        <v>1600</v>
      </c>
      <c r="N19" s="205"/>
      <c r="O19" s="205"/>
    </row>
    <row r="20" spans="1:15" s="51" customFormat="1" ht="17.25" x14ac:dyDescent="0.3">
      <c r="A20" s="157" t="s">
        <v>991</v>
      </c>
      <c r="B20" s="152">
        <v>7904409817</v>
      </c>
      <c r="C20" s="152" t="s">
        <v>474</v>
      </c>
      <c r="D20" s="152"/>
      <c r="E20" s="152">
        <v>4500</v>
      </c>
      <c r="F20" s="221">
        <v>46207</v>
      </c>
      <c r="G20" s="152">
        <v>4500</v>
      </c>
      <c r="H20" s="152" t="s">
        <v>439</v>
      </c>
      <c r="I20" s="152"/>
      <c r="J20" s="228"/>
      <c r="K20" s="228" t="s">
        <v>883</v>
      </c>
      <c r="L20" s="228">
        <v>1</v>
      </c>
      <c r="M20" s="205">
        <v>4500</v>
      </c>
      <c r="N20" s="205"/>
      <c r="O20" s="205"/>
    </row>
    <row r="21" spans="1:15" s="165" customFormat="1" ht="17.25" x14ac:dyDescent="0.3">
      <c r="A21" s="157" t="s">
        <v>600</v>
      </c>
      <c r="B21" s="152">
        <v>9962718253</v>
      </c>
      <c r="C21" s="152" t="s">
        <v>474</v>
      </c>
      <c r="D21" s="152">
        <v>800</v>
      </c>
      <c r="E21" s="152">
        <v>1800</v>
      </c>
      <c r="F21" s="152"/>
      <c r="G21" s="147"/>
      <c r="H21" s="147"/>
      <c r="I21" s="147"/>
      <c r="J21" s="157"/>
      <c r="K21" s="157"/>
      <c r="L21" s="157">
        <v>1</v>
      </c>
      <c r="M21" s="205">
        <v>1800</v>
      </c>
      <c r="N21" s="157"/>
      <c r="O21" s="157"/>
    </row>
    <row r="22" spans="1:15" s="165" customFormat="1" ht="17.25" x14ac:dyDescent="0.3">
      <c r="A22" s="157" t="s">
        <v>473</v>
      </c>
      <c r="B22" s="152">
        <v>9566059846</v>
      </c>
      <c r="C22" s="152" t="s">
        <v>474</v>
      </c>
      <c r="D22" s="152"/>
      <c r="E22" s="152">
        <v>1700</v>
      </c>
      <c r="F22" s="152"/>
      <c r="G22" s="152"/>
      <c r="H22" s="152"/>
      <c r="I22" s="154" t="s">
        <v>822</v>
      </c>
      <c r="J22" s="229"/>
      <c r="K22" s="157"/>
      <c r="L22" s="157">
        <v>1</v>
      </c>
      <c r="M22" s="205">
        <v>1700</v>
      </c>
      <c r="N22" s="157"/>
      <c r="O22" s="157"/>
    </row>
    <row r="23" spans="1:15" s="165" customFormat="1" ht="17.25" x14ac:dyDescent="0.3">
      <c r="A23" s="157" t="s">
        <v>911</v>
      </c>
      <c r="B23" s="152">
        <v>9080869326</v>
      </c>
      <c r="C23" s="152" t="s">
        <v>479</v>
      </c>
      <c r="D23" s="152"/>
      <c r="E23" s="152">
        <v>1750</v>
      </c>
      <c r="F23" s="152"/>
      <c r="G23" s="152"/>
      <c r="H23" s="152"/>
      <c r="I23" s="152"/>
      <c r="J23" s="157"/>
      <c r="K23" s="157"/>
      <c r="L23" s="157">
        <v>1</v>
      </c>
      <c r="M23" s="205">
        <v>1750</v>
      </c>
      <c r="N23" s="157"/>
      <c r="O23" s="157"/>
    </row>
    <row r="24" spans="1:15" s="165" customFormat="1" ht="17.25" x14ac:dyDescent="0.3">
      <c r="A24" s="157" t="s">
        <v>504</v>
      </c>
      <c r="B24" s="152">
        <v>9841477377</v>
      </c>
      <c r="C24" s="152" t="s">
        <v>493</v>
      </c>
      <c r="D24" s="152"/>
      <c r="E24" s="152">
        <v>1900</v>
      </c>
      <c r="F24" s="152"/>
      <c r="G24" s="152"/>
      <c r="H24" s="152"/>
      <c r="I24" s="152"/>
      <c r="J24" s="157"/>
      <c r="K24" s="157"/>
      <c r="L24" s="157">
        <v>1</v>
      </c>
      <c r="M24" s="205">
        <v>2000</v>
      </c>
      <c r="N24" s="157"/>
      <c r="O24" s="157"/>
    </row>
    <row r="25" spans="1:15" s="165" customFormat="1" ht="17.25" x14ac:dyDescent="0.3">
      <c r="A25" s="157" t="s">
        <v>1139</v>
      </c>
      <c r="B25" s="152">
        <v>9791101009</v>
      </c>
      <c r="C25" s="152" t="s">
        <v>522</v>
      </c>
      <c r="D25" s="152"/>
      <c r="E25" s="152">
        <v>1700</v>
      </c>
      <c r="F25" s="152" t="s">
        <v>1140</v>
      </c>
      <c r="G25" s="152">
        <v>1700</v>
      </c>
      <c r="H25" s="152" t="s">
        <v>439</v>
      </c>
      <c r="I25" s="152"/>
      <c r="J25" s="157"/>
      <c r="K25" s="157"/>
      <c r="L25" s="157">
        <v>1</v>
      </c>
      <c r="M25" s="205">
        <v>1700</v>
      </c>
      <c r="N25" s="157"/>
      <c r="O25" s="157"/>
    </row>
    <row r="26" spans="1:15" s="51" customFormat="1" ht="18.75" x14ac:dyDescent="0.3">
      <c r="A26" s="157" t="s">
        <v>1365</v>
      </c>
      <c r="B26" s="152">
        <v>9003517441</v>
      </c>
      <c r="C26" s="152" t="s">
        <v>525</v>
      </c>
      <c r="D26" s="152">
        <v>4000</v>
      </c>
      <c r="E26" s="152">
        <v>3500</v>
      </c>
      <c r="F26" s="152" t="s">
        <v>1150</v>
      </c>
      <c r="G26" s="152">
        <v>3000</v>
      </c>
      <c r="H26" s="152" t="s">
        <v>47</v>
      </c>
      <c r="I26" s="152"/>
      <c r="J26" s="74"/>
      <c r="K26" s="74" t="s">
        <v>884</v>
      </c>
      <c r="L26" s="205">
        <v>1</v>
      </c>
      <c r="M26" s="205">
        <v>3500</v>
      </c>
      <c r="N26" s="205"/>
      <c r="O26" s="205"/>
    </row>
    <row r="27" spans="1:15" s="51" customFormat="1" ht="18.75" x14ac:dyDescent="0.3">
      <c r="A27" s="157" t="s">
        <v>543</v>
      </c>
      <c r="B27" s="152">
        <v>9884690348</v>
      </c>
      <c r="C27" s="152" t="s">
        <v>521</v>
      </c>
      <c r="D27" s="152">
        <v>650</v>
      </c>
      <c r="E27" s="152">
        <v>650</v>
      </c>
      <c r="F27" s="152" t="s">
        <v>1150</v>
      </c>
      <c r="G27" s="152">
        <v>1300</v>
      </c>
      <c r="H27" s="152" t="s">
        <v>20</v>
      </c>
      <c r="I27" s="152"/>
      <c r="J27" s="74"/>
      <c r="K27" s="74" t="s">
        <v>885</v>
      </c>
      <c r="L27" s="205">
        <v>2</v>
      </c>
      <c r="M27" s="205" t="s">
        <v>886</v>
      </c>
      <c r="N27" s="205"/>
      <c r="O27" s="205"/>
    </row>
    <row r="28" spans="1:15" s="51" customFormat="1" ht="18.75" x14ac:dyDescent="0.3">
      <c r="A28" s="157" t="s">
        <v>638</v>
      </c>
      <c r="B28" s="152">
        <v>7397264637</v>
      </c>
      <c r="C28" s="152" t="s">
        <v>637</v>
      </c>
      <c r="D28" s="152"/>
      <c r="E28" s="152">
        <v>1700</v>
      </c>
      <c r="F28" s="152" t="s">
        <v>1150</v>
      </c>
      <c r="G28" s="152">
        <v>1600</v>
      </c>
      <c r="H28" s="152" t="s">
        <v>439</v>
      </c>
      <c r="I28" s="152"/>
      <c r="J28" s="74"/>
      <c r="K28" s="74"/>
      <c r="L28" s="205">
        <v>1</v>
      </c>
      <c r="M28" s="205"/>
      <c r="N28" s="205"/>
      <c r="O28" s="205"/>
    </row>
    <row r="29" spans="1:15" s="51" customFormat="1" ht="18.75" x14ac:dyDescent="0.3">
      <c r="A29" s="157" t="s">
        <v>646</v>
      </c>
      <c r="B29" s="152">
        <v>7200151287</v>
      </c>
      <c r="C29" s="152" t="s">
        <v>647</v>
      </c>
      <c r="D29" s="152"/>
      <c r="E29" s="152">
        <v>2250</v>
      </c>
      <c r="F29" s="221" t="s">
        <v>1270</v>
      </c>
      <c r="G29" s="152">
        <v>7350</v>
      </c>
      <c r="H29" s="152" t="s">
        <v>439</v>
      </c>
      <c r="I29" s="152"/>
      <c r="J29" s="74"/>
      <c r="K29" s="74"/>
      <c r="L29" s="205">
        <v>1</v>
      </c>
      <c r="M29" s="205"/>
      <c r="N29" s="205"/>
      <c r="O29" s="205"/>
    </row>
    <row r="30" spans="1:15" s="51" customFormat="1" ht="18.75" x14ac:dyDescent="0.3">
      <c r="A30" s="157" t="s">
        <v>990</v>
      </c>
      <c r="B30" s="152">
        <v>984004024</v>
      </c>
      <c r="C30" s="152" t="s">
        <v>1076</v>
      </c>
      <c r="D30" s="152"/>
      <c r="E30" s="152">
        <v>11250</v>
      </c>
      <c r="F30" s="152" t="s">
        <v>1151</v>
      </c>
      <c r="G30" s="152">
        <v>9500</v>
      </c>
      <c r="H30" s="152" t="s">
        <v>47</v>
      </c>
      <c r="I30" s="152"/>
      <c r="J30" s="74"/>
      <c r="K30" s="74"/>
      <c r="L30" s="205">
        <v>3</v>
      </c>
      <c r="M30" s="205" t="s">
        <v>888</v>
      </c>
      <c r="N30" s="205"/>
      <c r="O30" s="205"/>
    </row>
    <row r="31" spans="1:15" s="51" customFormat="1" ht="18.75" x14ac:dyDescent="0.3">
      <c r="A31" s="157" t="s">
        <v>699</v>
      </c>
      <c r="B31" s="152">
        <v>9940377630</v>
      </c>
      <c r="C31" s="152" t="s">
        <v>697</v>
      </c>
      <c r="D31" s="152"/>
      <c r="E31" s="152">
        <v>1500</v>
      </c>
      <c r="F31" s="221">
        <v>46177</v>
      </c>
      <c r="G31" s="152">
        <v>1500</v>
      </c>
      <c r="H31" s="152" t="s">
        <v>439</v>
      </c>
      <c r="I31" s="152"/>
      <c r="J31" s="74"/>
      <c r="K31" s="74"/>
      <c r="L31" s="205">
        <v>1</v>
      </c>
      <c r="M31" s="205"/>
      <c r="N31" s="205"/>
      <c r="O31" s="205"/>
    </row>
    <row r="32" spans="1:15" s="51" customFormat="1" ht="18.75" x14ac:dyDescent="0.3">
      <c r="A32" s="157" t="s">
        <v>744</v>
      </c>
      <c r="B32" s="152">
        <v>9003920837</v>
      </c>
      <c r="C32" s="152" t="s">
        <v>712</v>
      </c>
      <c r="D32" s="152"/>
      <c r="E32" s="152">
        <v>1800</v>
      </c>
      <c r="F32" s="221">
        <v>46299</v>
      </c>
      <c r="G32" s="152">
        <v>1800</v>
      </c>
      <c r="H32" s="152" t="s">
        <v>47</v>
      </c>
      <c r="I32" s="152"/>
      <c r="J32" s="74"/>
      <c r="K32" s="74"/>
      <c r="L32" s="205">
        <v>1</v>
      </c>
      <c r="M32" s="205"/>
      <c r="N32" s="205"/>
      <c r="O32" s="205"/>
    </row>
    <row r="33" spans="1:15" s="51" customFormat="1" ht="18.75" x14ac:dyDescent="0.3">
      <c r="A33" s="157" t="s">
        <v>722</v>
      </c>
      <c r="B33" s="152">
        <v>8056556619</v>
      </c>
      <c r="C33" s="152" t="s">
        <v>723</v>
      </c>
      <c r="D33" s="152"/>
      <c r="E33" s="152">
        <v>1600</v>
      </c>
      <c r="F33" s="152"/>
      <c r="G33" s="152"/>
      <c r="H33" s="152"/>
      <c r="I33" s="152"/>
      <c r="J33" s="74"/>
      <c r="K33" s="74"/>
      <c r="L33" s="205">
        <v>1</v>
      </c>
      <c r="M33" s="205"/>
      <c r="N33" s="205"/>
      <c r="O33" s="205"/>
    </row>
    <row r="34" spans="1:15" s="51" customFormat="1" ht="18.75" x14ac:dyDescent="0.3">
      <c r="A34" s="157" t="s">
        <v>726</v>
      </c>
      <c r="B34" s="152">
        <v>7305272310</v>
      </c>
      <c r="C34" s="152" t="s">
        <v>727</v>
      </c>
      <c r="D34" s="152">
        <v>6000</v>
      </c>
      <c r="E34" s="152">
        <v>6000</v>
      </c>
      <c r="F34" s="152" t="s">
        <v>1095</v>
      </c>
      <c r="G34" s="152">
        <v>6000</v>
      </c>
      <c r="H34" s="152" t="s">
        <v>880</v>
      </c>
      <c r="I34" s="152"/>
      <c r="J34" s="74"/>
      <c r="K34" s="74"/>
      <c r="L34" s="205">
        <v>1</v>
      </c>
      <c r="M34" s="205"/>
      <c r="N34" s="205"/>
      <c r="O34" s="205"/>
    </row>
    <row r="35" spans="1:15" s="51" customFormat="1" ht="18.75" x14ac:dyDescent="0.3">
      <c r="A35" s="157" t="s">
        <v>735</v>
      </c>
      <c r="B35" s="152">
        <v>9789308646</v>
      </c>
      <c r="C35" s="152" t="s">
        <v>734</v>
      </c>
      <c r="D35" s="152"/>
      <c r="E35" s="152">
        <v>1800</v>
      </c>
      <c r="F35" s="152" t="s">
        <v>1133</v>
      </c>
      <c r="G35" s="152">
        <v>1800</v>
      </c>
      <c r="H35" s="152" t="s">
        <v>47</v>
      </c>
      <c r="I35" s="152"/>
      <c r="J35" s="74"/>
      <c r="K35" s="74"/>
      <c r="L35" s="205">
        <v>1</v>
      </c>
      <c r="M35" s="205"/>
      <c r="N35" s="205"/>
      <c r="O35" s="205"/>
    </row>
    <row r="36" spans="1:15" s="51" customFormat="1" ht="18.75" x14ac:dyDescent="0.3">
      <c r="A36" s="157" t="s">
        <v>904</v>
      </c>
      <c r="B36" s="152">
        <v>8838432039</v>
      </c>
      <c r="C36" s="152" t="s">
        <v>737</v>
      </c>
      <c r="D36" s="152">
        <v>1600</v>
      </c>
      <c r="E36" s="152">
        <v>1600</v>
      </c>
      <c r="F36" s="152" t="s">
        <v>1067</v>
      </c>
      <c r="G36" s="152">
        <v>1600</v>
      </c>
      <c r="H36" s="152" t="s">
        <v>47</v>
      </c>
      <c r="I36" s="152"/>
      <c r="J36" s="74"/>
      <c r="K36" s="74"/>
      <c r="L36" s="205">
        <v>1</v>
      </c>
      <c r="M36" s="205"/>
      <c r="N36" s="205"/>
      <c r="O36" s="205"/>
    </row>
    <row r="37" spans="1:15" s="51" customFormat="1" ht="18.75" x14ac:dyDescent="0.3">
      <c r="A37" s="157" t="s">
        <v>738</v>
      </c>
      <c r="B37" s="152">
        <v>9629322643</v>
      </c>
      <c r="C37" s="152" t="s">
        <v>737</v>
      </c>
      <c r="D37" s="152"/>
      <c r="E37" s="152">
        <v>2000</v>
      </c>
      <c r="F37" s="152" t="s">
        <v>1150</v>
      </c>
      <c r="G37" s="152">
        <v>2000</v>
      </c>
      <c r="H37" s="152" t="s">
        <v>439</v>
      </c>
      <c r="I37" s="152"/>
      <c r="J37" s="74"/>
      <c r="K37" s="74"/>
      <c r="L37" s="205">
        <v>1</v>
      </c>
      <c r="M37" s="205"/>
      <c r="N37" s="205"/>
      <c r="O37" s="205"/>
    </row>
    <row r="38" spans="1:15" s="165" customFormat="1" ht="17.25" x14ac:dyDescent="0.3">
      <c r="A38" s="157" t="s">
        <v>845</v>
      </c>
      <c r="B38" s="152">
        <v>9095407562</v>
      </c>
      <c r="C38" s="152" t="s">
        <v>751</v>
      </c>
      <c r="D38" s="152"/>
      <c r="E38" s="152">
        <v>2000</v>
      </c>
      <c r="F38" s="221">
        <v>46085</v>
      </c>
      <c r="G38" s="152">
        <v>2000</v>
      </c>
      <c r="H38" s="152" t="s">
        <v>47</v>
      </c>
      <c r="I38" s="152"/>
      <c r="J38" s="157"/>
      <c r="K38" s="157"/>
      <c r="L38" s="157">
        <v>1</v>
      </c>
      <c r="M38" s="205"/>
      <c r="N38" s="157"/>
      <c r="O38" s="157"/>
    </row>
    <row r="39" spans="1:15" s="165" customFormat="1" ht="17.25" x14ac:dyDescent="0.3">
      <c r="A39" s="157" t="s">
        <v>764</v>
      </c>
      <c r="B39" s="152"/>
      <c r="C39" s="152" t="s">
        <v>753</v>
      </c>
      <c r="D39" s="152"/>
      <c r="E39" s="152">
        <v>20700</v>
      </c>
      <c r="F39" s="221">
        <v>46330</v>
      </c>
      <c r="G39" s="152">
        <v>20700</v>
      </c>
      <c r="H39" s="152" t="s">
        <v>47</v>
      </c>
      <c r="I39" s="152"/>
      <c r="J39" s="157"/>
      <c r="K39" s="157"/>
      <c r="L39" s="157">
        <v>17</v>
      </c>
      <c r="M39" s="205" t="s">
        <v>889</v>
      </c>
      <c r="N39" s="157"/>
      <c r="O39" s="157"/>
    </row>
    <row r="40" spans="1:15" s="51" customFormat="1" ht="18.75" x14ac:dyDescent="0.3">
      <c r="A40" s="157" t="s">
        <v>768</v>
      </c>
      <c r="B40" s="152"/>
      <c r="C40" s="152" t="s">
        <v>769</v>
      </c>
      <c r="D40" s="152"/>
      <c r="E40" s="152">
        <v>2000</v>
      </c>
      <c r="F40" s="221">
        <v>46116</v>
      </c>
      <c r="G40" s="152">
        <v>2000</v>
      </c>
      <c r="H40" s="152" t="s">
        <v>439</v>
      </c>
      <c r="I40" s="152"/>
      <c r="J40" s="74"/>
      <c r="K40" s="74"/>
      <c r="L40" s="205">
        <v>1</v>
      </c>
      <c r="M40" s="205"/>
      <c r="N40" s="205"/>
      <c r="O40" s="205"/>
    </row>
    <row r="41" spans="1:15" s="51" customFormat="1" ht="18.75" x14ac:dyDescent="0.3">
      <c r="A41" s="157" t="s">
        <v>986</v>
      </c>
      <c r="B41" s="152">
        <v>9489210061</v>
      </c>
      <c r="C41" s="152" t="s">
        <v>613</v>
      </c>
      <c r="D41" s="152"/>
      <c r="E41" s="152">
        <v>3500</v>
      </c>
      <c r="F41" s="152"/>
      <c r="G41" s="152"/>
      <c r="H41" s="152"/>
      <c r="I41" s="152"/>
      <c r="J41" s="74"/>
      <c r="K41" s="74"/>
      <c r="L41" s="205">
        <v>1</v>
      </c>
      <c r="M41" s="205"/>
      <c r="N41" s="205"/>
      <c r="O41" s="205"/>
    </row>
    <row r="42" spans="1:15" s="51" customFormat="1" ht="18.75" x14ac:dyDescent="0.3">
      <c r="A42" s="157" t="s">
        <v>787</v>
      </c>
      <c r="B42" s="152">
        <v>9500112451</v>
      </c>
      <c r="C42" s="152" t="s">
        <v>788</v>
      </c>
      <c r="D42" s="152"/>
      <c r="E42" s="152">
        <v>2100</v>
      </c>
      <c r="F42" s="221">
        <v>46085</v>
      </c>
      <c r="G42" s="152">
        <v>2100</v>
      </c>
      <c r="H42" s="152" t="s">
        <v>439</v>
      </c>
      <c r="I42" s="152"/>
      <c r="J42" s="74"/>
      <c r="K42" s="74"/>
      <c r="L42" s="205">
        <v>1</v>
      </c>
      <c r="M42" s="205"/>
      <c r="N42" s="205"/>
      <c r="O42" s="205"/>
    </row>
    <row r="43" spans="1:15" s="165" customFormat="1" ht="17.25" x14ac:dyDescent="0.3">
      <c r="A43" s="157" t="s">
        <v>1042</v>
      </c>
      <c r="B43" s="152">
        <v>9840982094</v>
      </c>
      <c r="C43" s="152" t="s">
        <v>790</v>
      </c>
      <c r="D43" s="152"/>
      <c r="E43" s="152">
        <v>17550</v>
      </c>
      <c r="F43" s="152"/>
      <c r="G43" s="152"/>
      <c r="H43" s="152"/>
      <c r="I43" s="152"/>
      <c r="J43" s="157"/>
      <c r="K43" s="157"/>
      <c r="L43" s="157">
        <v>9</v>
      </c>
      <c r="M43" s="205" t="s">
        <v>1368</v>
      </c>
      <c r="N43" s="157" t="s">
        <v>1370</v>
      </c>
      <c r="O43" s="157"/>
    </row>
    <row r="44" spans="1:15" s="51" customFormat="1" ht="18.75" x14ac:dyDescent="0.3">
      <c r="A44" s="157" t="s">
        <v>1039</v>
      </c>
      <c r="B44" s="152">
        <v>9952971431</v>
      </c>
      <c r="C44" s="152" t="s">
        <v>793</v>
      </c>
      <c r="D44" s="152"/>
      <c r="E44" s="152">
        <v>2500</v>
      </c>
      <c r="F44" s="221" t="s">
        <v>1067</v>
      </c>
      <c r="G44" s="152">
        <v>2500</v>
      </c>
      <c r="H44" s="152" t="s">
        <v>439</v>
      </c>
      <c r="I44" s="152"/>
      <c r="J44" s="74"/>
      <c r="K44" s="74"/>
      <c r="L44" s="205">
        <v>1</v>
      </c>
      <c r="M44" s="205"/>
      <c r="N44" s="205"/>
      <c r="O44" s="205"/>
    </row>
    <row r="45" spans="1:15" s="204" customFormat="1" ht="17.25" x14ac:dyDescent="0.3">
      <c r="A45" s="202" t="s">
        <v>871</v>
      </c>
      <c r="B45" s="201">
        <v>9094980194</v>
      </c>
      <c r="C45" s="201" t="s">
        <v>873</v>
      </c>
      <c r="D45" s="201"/>
      <c r="E45" s="201"/>
      <c r="F45" s="201"/>
      <c r="G45" s="201"/>
      <c r="H45" s="201"/>
      <c r="I45" s="201" t="s">
        <v>1041</v>
      </c>
      <c r="J45" s="202"/>
      <c r="K45" s="202"/>
      <c r="L45" s="202"/>
      <c r="M45" s="203"/>
      <c r="N45" s="202" t="s">
        <v>949</v>
      </c>
      <c r="O45" s="202"/>
    </row>
    <row r="46" spans="1:15" s="165" customFormat="1" ht="17.25" x14ac:dyDescent="0.3">
      <c r="A46" s="157" t="s">
        <v>897</v>
      </c>
      <c r="B46" s="152">
        <v>9710459818</v>
      </c>
      <c r="C46" s="221">
        <v>46084</v>
      </c>
      <c r="D46" s="152"/>
      <c r="E46" s="152">
        <v>2000</v>
      </c>
      <c r="F46" s="221">
        <v>46207</v>
      </c>
      <c r="G46" s="152">
        <v>2000</v>
      </c>
      <c r="H46" s="152" t="s">
        <v>439</v>
      </c>
      <c r="I46" s="152"/>
      <c r="J46" s="157">
        <v>295</v>
      </c>
      <c r="K46" s="157">
        <v>594</v>
      </c>
      <c r="L46" s="157">
        <v>1</v>
      </c>
      <c r="M46" s="205"/>
      <c r="N46" s="157" t="s">
        <v>898</v>
      </c>
      <c r="O46" s="157"/>
    </row>
    <row r="47" spans="1:15" s="165" customFormat="1" ht="17.25" x14ac:dyDescent="0.3">
      <c r="A47" s="157" t="s">
        <v>924</v>
      </c>
      <c r="B47" s="152">
        <v>9840578283</v>
      </c>
      <c r="C47" s="221">
        <v>46237</v>
      </c>
      <c r="D47" s="152"/>
      <c r="E47" s="152">
        <v>2500</v>
      </c>
      <c r="F47" s="221" t="s">
        <v>1150</v>
      </c>
      <c r="G47" s="152">
        <v>2000</v>
      </c>
      <c r="H47" s="152" t="s">
        <v>439</v>
      </c>
      <c r="I47" s="152"/>
      <c r="J47" s="157">
        <v>302</v>
      </c>
      <c r="K47" s="157">
        <v>627</v>
      </c>
      <c r="L47" s="157">
        <v>1</v>
      </c>
      <c r="M47" s="205"/>
      <c r="N47" s="157" t="s">
        <v>950</v>
      </c>
      <c r="O47" s="157"/>
    </row>
    <row r="48" spans="1:15" s="204" customFormat="1" ht="17.25" x14ac:dyDescent="0.3">
      <c r="A48" s="202" t="s">
        <v>925</v>
      </c>
      <c r="B48" s="201"/>
      <c r="C48" s="246">
        <v>46237</v>
      </c>
      <c r="D48" s="201"/>
      <c r="E48" s="201">
        <v>1600</v>
      </c>
      <c r="F48" s="246">
        <v>46207</v>
      </c>
      <c r="G48" s="248"/>
      <c r="H48" s="201"/>
      <c r="I48" s="201" t="s">
        <v>811</v>
      </c>
      <c r="J48" s="202">
        <v>120</v>
      </c>
      <c r="K48" s="202">
        <v>670</v>
      </c>
      <c r="L48" s="202">
        <v>1</v>
      </c>
      <c r="M48" s="203"/>
      <c r="N48" s="202"/>
      <c r="O48" s="202"/>
    </row>
    <row r="49" spans="1:16" s="204" customFormat="1" ht="17.25" x14ac:dyDescent="0.3">
      <c r="A49" s="202" t="s">
        <v>960</v>
      </c>
      <c r="B49" s="201">
        <v>9840251652</v>
      </c>
      <c r="C49" s="201" t="s">
        <v>933</v>
      </c>
      <c r="D49" s="201"/>
      <c r="E49" s="201">
        <v>1500</v>
      </c>
      <c r="F49" s="246"/>
      <c r="G49" s="201" t="s">
        <v>1133</v>
      </c>
      <c r="H49" s="201"/>
      <c r="I49" s="201" t="s">
        <v>811</v>
      </c>
      <c r="J49" s="202"/>
      <c r="K49" s="202">
        <v>647</v>
      </c>
      <c r="L49" s="202"/>
      <c r="M49" s="203"/>
      <c r="N49" s="202" t="s">
        <v>970</v>
      </c>
      <c r="O49" s="202"/>
    </row>
    <row r="50" spans="1:16" s="204" customFormat="1" ht="17.25" x14ac:dyDescent="0.3">
      <c r="A50" s="202" t="s">
        <v>937</v>
      </c>
      <c r="B50" s="201">
        <v>9361766480</v>
      </c>
      <c r="C50" s="201" t="s">
        <v>934</v>
      </c>
      <c r="D50" s="201"/>
      <c r="E50" s="201">
        <v>2000</v>
      </c>
      <c r="F50" s="201" t="s">
        <v>1082</v>
      </c>
      <c r="G50" s="201"/>
      <c r="H50" s="201"/>
      <c r="I50" s="201" t="s">
        <v>811</v>
      </c>
      <c r="J50" s="202"/>
      <c r="K50" s="202">
        <v>605</v>
      </c>
      <c r="L50" s="202"/>
      <c r="M50" s="203"/>
      <c r="N50" s="202" t="s">
        <v>942</v>
      </c>
      <c r="O50" s="202"/>
    </row>
    <row r="51" spans="1:16" s="165" customFormat="1" ht="17.25" x14ac:dyDescent="0.3">
      <c r="A51" s="157" t="s">
        <v>1029</v>
      </c>
      <c r="B51" s="152"/>
      <c r="C51" s="152" t="s">
        <v>953</v>
      </c>
      <c r="D51" s="152"/>
      <c r="E51" s="152">
        <v>2500</v>
      </c>
      <c r="F51" s="152" t="s">
        <v>1080</v>
      </c>
      <c r="G51" s="152">
        <v>2500</v>
      </c>
      <c r="H51" s="152" t="s">
        <v>439</v>
      </c>
      <c r="I51" s="152"/>
      <c r="J51" s="157"/>
      <c r="K51" s="157"/>
      <c r="L51" s="157"/>
      <c r="M51" s="205"/>
      <c r="N51" s="157"/>
      <c r="O51" s="157"/>
    </row>
    <row r="52" spans="1:16" s="204" customFormat="1" ht="17.25" x14ac:dyDescent="0.3">
      <c r="A52" s="202" t="s">
        <v>984</v>
      </c>
      <c r="B52" s="201"/>
      <c r="C52" s="201" t="s">
        <v>966</v>
      </c>
      <c r="D52" s="201"/>
      <c r="E52" s="201">
        <v>9050</v>
      </c>
      <c r="F52" s="201" t="s">
        <v>1124</v>
      </c>
      <c r="G52" s="201"/>
      <c r="H52" s="201"/>
      <c r="I52" s="201" t="s">
        <v>811</v>
      </c>
      <c r="J52" s="202"/>
      <c r="K52" s="202" t="s">
        <v>969</v>
      </c>
      <c r="L52" s="202">
        <v>2</v>
      </c>
      <c r="M52" s="202" t="s">
        <v>967</v>
      </c>
      <c r="N52" s="201"/>
      <c r="O52" s="202"/>
      <c r="P52" s="204" t="s">
        <v>968</v>
      </c>
    </row>
    <row r="53" spans="1:16" s="165" customFormat="1" ht="17.25" x14ac:dyDescent="0.3">
      <c r="A53" s="157" t="s">
        <v>983</v>
      </c>
      <c r="B53" s="152"/>
      <c r="C53" s="152" t="s">
        <v>964</v>
      </c>
      <c r="D53" s="152"/>
      <c r="E53" s="152">
        <v>5000</v>
      </c>
      <c r="F53" s="152" t="s">
        <v>1166</v>
      </c>
      <c r="G53" s="152">
        <v>5500</v>
      </c>
      <c r="H53" s="152" t="s">
        <v>47</v>
      </c>
      <c r="I53" s="152"/>
      <c r="J53" s="157"/>
      <c r="K53" s="157">
        <v>615</v>
      </c>
      <c r="L53" s="157">
        <v>1</v>
      </c>
      <c r="M53" s="157"/>
      <c r="N53" s="152" t="s">
        <v>930</v>
      </c>
      <c r="O53" s="157"/>
    </row>
    <row r="54" spans="1:16" s="165" customFormat="1" ht="17.25" x14ac:dyDescent="0.3">
      <c r="A54" s="157" t="s">
        <v>1008</v>
      </c>
      <c r="B54" s="152"/>
      <c r="C54" s="152" t="s">
        <v>1007</v>
      </c>
      <c r="D54" s="152"/>
      <c r="E54" s="152">
        <v>10000</v>
      </c>
      <c r="F54" s="152"/>
      <c r="G54" s="152"/>
      <c r="H54" s="152"/>
      <c r="I54" s="152"/>
      <c r="J54" s="157"/>
      <c r="K54" s="157"/>
      <c r="L54" s="157"/>
      <c r="M54" s="157"/>
      <c r="N54" s="157"/>
      <c r="O54" s="157"/>
    </row>
    <row r="55" spans="1:16" s="165" customFormat="1" ht="17.25" x14ac:dyDescent="0.3">
      <c r="A55" s="149" t="s">
        <v>1032</v>
      </c>
      <c r="B55" s="152"/>
      <c r="C55" s="152" t="s">
        <v>1007</v>
      </c>
      <c r="D55" s="152"/>
      <c r="E55" s="152">
        <v>2500</v>
      </c>
      <c r="F55" s="152" t="s">
        <v>1150</v>
      </c>
      <c r="G55" s="152">
        <v>2500</v>
      </c>
      <c r="H55" s="152" t="s">
        <v>47</v>
      </c>
      <c r="I55" s="152"/>
      <c r="J55" s="157"/>
      <c r="K55" s="157"/>
      <c r="L55" s="157">
        <v>1</v>
      </c>
      <c r="M55" s="157"/>
      <c r="N55" s="157"/>
      <c r="O55" s="157"/>
    </row>
    <row r="56" spans="1:16" s="165" customFormat="1" ht="17.25" x14ac:dyDescent="0.3">
      <c r="A56" s="202" t="s">
        <v>1014</v>
      </c>
      <c r="B56" s="152"/>
      <c r="C56" s="152" t="s">
        <v>1002</v>
      </c>
      <c r="D56" s="152"/>
      <c r="E56" s="152">
        <v>1500</v>
      </c>
      <c r="F56" s="152"/>
      <c r="G56" s="152"/>
      <c r="H56" s="152"/>
      <c r="I56" s="152"/>
      <c r="J56" s="157"/>
      <c r="K56" s="157"/>
      <c r="L56" s="157">
        <v>1</v>
      </c>
      <c r="M56" s="157"/>
      <c r="N56" s="157"/>
      <c r="O56" s="157"/>
    </row>
    <row r="57" spans="1:16" s="204" customFormat="1" ht="17.25" x14ac:dyDescent="0.3">
      <c r="A57" s="202" t="s">
        <v>1123</v>
      </c>
      <c r="B57" s="201"/>
      <c r="C57" s="201" t="s">
        <v>1017</v>
      </c>
      <c r="D57" s="201"/>
      <c r="E57" s="201">
        <v>1200</v>
      </c>
      <c r="F57" s="201" t="s">
        <v>1150</v>
      </c>
      <c r="G57" s="201"/>
      <c r="H57" s="201"/>
      <c r="I57" s="201"/>
      <c r="J57" s="202"/>
      <c r="K57" s="202"/>
      <c r="L57" s="202">
        <v>1</v>
      </c>
      <c r="M57" s="202"/>
      <c r="N57" s="202"/>
      <c r="O57" s="202"/>
    </row>
    <row r="58" spans="1:16" s="165" customFormat="1" ht="17.25" x14ac:dyDescent="0.3">
      <c r="A58" s="157" t="s">
        <v>1030</v>
      </c>
      <c r="B58" s="152"/>
      <c r="C58" s="221">
        <v>45663</v>
      </c>
      <c r="D58" s="152"/>
      <c r="E58" s="152">
        <v>9600</v>
      </c>
      <c r="F58" s="152" t="s">
        <v>1067</v>
      </c>
      <c r="G58" s="152">
        <v>9600</v>
      </c>
      <c r="H58" s="152" t="s">
        <v>47</v>
      </c>
      <c r="I58" s="152"/>
      <c r="J58" s="157"/>
      <c r="K58" s="157"/>
      <c r="L58" s="157">
        <v>6</v>
      </c>
      <c r="M58" s="157" t="s">
        <v>1026</v>
      </c>
      <c r="N58" s="157" t="s">
        <v>1027</v>
      </c>
      <c r="O58" s="157"/>
    </row>
    <row r="59" spans="1:16" s="165" customFormat="1" ht="17.25" x14ac:dyDescent="0.3">
      <c r="A59" s="157" t="s">
        <v>1031</v>
      </c>
      <c r="B59" s="152"/>
      <c r="C59" s="221">
        <v>46057</v>
      </c>
      <c r="D59" s="152"/>
      <c r="E59" s="152">
        <v>3250</v>
      </c>
      <c r="F59" s="152" t="s">
        <v>1150</v>
      </c>
      <c r="G59" s="152">
        <v>3000</v>
      </c>
      <c r="H59" s="152" t="s">
        <v>47</v>
      </c>
      <c r="I59" s="152"/>
      <c r="J59" s="157"/>
      <c r="K59" s="157"/>
      <c r="L59" s="157">
        <v>1</v>
      </c>
      <c r="M59" s="157"/>
      <c r="N59" s="157" t="s">
        <v>1028</v>
      </c>
      <c r="O59" s="157"/>
    </row>
    <row r="60" spans="1:16" s="204" customFormat="1" ht="17.25" x14ac:dyDescent="0.3">
      <c r="A60" s="202" t="s">
        <v>1078</v>
      </c>
      <c r="B60" s="201"/>
      <c r="C60" s="246">
        <v>46207</v>
      </c>
      <c r="D60" s="201"/>
      <c r="E60" s="201">
        <v>5000</v>
      </c>
      <c r="F60" s="246">
        <v>46207</v>
      </c>
      <c r="G60" s="201">
        <v>5000</v>
      </c>
      <c r="H60" s="201" t="s">
        <v>1047</v>
      </c>
      <c r="I60" s="201" t="s">
        <v>811</v>
      </c>
      <c r="J60" s="202"/>
      <c r="K60" s="202"/>
      <c r="L60" s="202"/>
      <c r="M60" s="202"/>
      <c r="N60" s="202"/>
      <c r="O60" s="202"/>
    </row>
    <row r="61" spans="1:16" s="165" customFormat="1" ht="17.25" x14ac:dyDescent="0.3">
      <c r="A61" s="249" t="s">
        <v>1063</v>
      </c>
      <c r="B61" s="152"/>
      <c r="C61" s="221">
        <v>46299</v>
      </c>
      <c r="D61" s="152">
        <v>5000</v>
      </c>
      <c r="E61" s="152">
        <v>1800</v>
      </c>
      <c r="F61" s="221">
        <v>46299</v>
      </c>
      <c r="G61" s="152">
        <v>7000</v>
      </c>
      <c r="H61" s="152" t="s">
        <v>1064</v>
      </c>
      <c r="I61" s="152"/>
      <c r="J61" s="157"/>
      <c r="K61" s="157"/>
      <c r="L61" s="157"/>
      <c r="M61" s="205"/>
      <c r="N61" s="157"/>
      <c r="O61" s="157"/>
    </row>
    <row r="62" spans="1:16" s="165" customFormat="1" ht="17.25" x14ac:dyDescent="0.3">
      <c r="A62" s="249" t="s">
        <v>1074</v>
      </c>
      <c r="B62" s="152"/>
      <c r="C62" s="221" t="s">
        <v>1067</v>
      </c>
      <c r="D62" s="152"/>
      <c r="E62" s="152">
        <v>1800</v>
      </c>
      <c r="F62" s="221" t="s">
        <v>1067</v>
      </c>
      <c r="G62" s="152">
        <v>1800</v>
      </c>
      <c r="H62" s="152" t="s">
        <v>47</v>
      </c>
      <c r="I62" s="152"/>
      <c r="J62" s="157"/>
      <c r="K62" s="157"/>
      <c r="L62" s="157"/>
      <c r="M62" s="205"/>
      <c r="N62" s="157"/>
      <c r="O62" s="157"/>
    </row>
    <row r="63" spans="1:16" s="271" customFormat="1" ht="17.25" x14ac:dyDescent="0.3">
      <c r="A63" s="249" t="s">
        <v>1077</v>
      </c>
      <c r="B63" s="249">
        <v>8110929028</v>
      </c>
      <c r="C63" s="269">
        <v>46176</v>
      </c>
      <c r="D63" s="249"/>
      <c r="E63" s="152">
        <v>6000</v>
      </c>
      <c r="F63" s="269"/>
      <c r="G63" s="249"/>
      <c r="H63" s="249"/>
      <c r="I63" s="249"/>
      <c r="J63" s="249"/>
      <c r="K63" s="249"/>
      <c r="L63" s="249"/>
      <c r="M63" s="270"/>
      <c r="N63" s="249"/>
      <c r="O63" s="249"/>
    </row>
    <row r="64" spans="1:16" s="165" customFormat="1" ht="17.25" x14ac:dyDescent="0.3">
      <c r="A64" s="249" t="s">
        <v>1092</v>
      </c>
      <c r="B64" s="152"/>
      <c r="C64" s="221" t="s">
        <v>1082</v>
      </c>
      <c r="D64" s="152"/>
      <c r="E64" s="152"/>
      <c r="F64" s="221"/>
      <c r="G64" s="152"/>
      <c r="H64" s="152"/>
      <c r="I64" s="152"/>
      <c r="J64" s="157"/>
      <c r="K64" s="157"/>
      <c r="L64" s="157"/>
      <c r="M64" s="205"/>
      <c r="N64" s="157"/>
      <c r="O64" s="157"/>
    </row>
    <row r="65" spans="1:15" s="165" customFormat="1" ht="17.25" x14ac:dyDescent="0.3">
      <c r="A65" s="249" t="s">
        <v>1093</v>
      </c>
      <c r="B65" s="152"/>
      <c r="C65" s="221" t="s">
        <v>1094</v>
      </c>
      <c r="D65" s="152"/>
      <c r="E65" s="152">
        <v>2600</v>
      </c>
      <c r="F65" s="221" t="s">
        <v>1095</v>
      </c>
      <c r="G65" s="152">
        <v>2600</v>
      </c>
      <c r="H65" s="152" t="s">
        <v>47</v>
      </c>
      <c r="I65" s="152"/>
      <c r="J65" s="157"/>
      <c r="K65" s="157"/>
      <c r="L65" s="157"/>
      <c r="M65" s="205"/>
      <c r="N65" s="157"/>
      <c r="O65" s="157"/>
    </row>
    <row r="66" spans="1:15" s="165" customFormat="1" ht="17.25" x14ac:dyDescent="0.3">
      <c r="A66" s="249" t="s">
        <v>1096</v>
      </c>
      <c r="B66" s="152"/>
      <c r="C66" s="221" t="s">
        <v>1094</v>
      </c>
      <c r="D66" s="152"/>
      <c r="E66" s="152">
        <v>2600</v>
      </c>
      <c r="F66" s="221" t="s">
        <v>1095</v>
      </c>
      <c r="G66" s="152">
        <v>2600</v>
      </c>
      <c r="H66" s="152" t="s">
        <v>47</v>
      </c>
      <c r="I66" s="152"/>
      <c r="J66" s="157"/>
      <c r="K66" s="157"/>
      <c r="L66" s="157"/>
      <c r="M66" s="205"/>
      <c r="N66" s="157"/>
      <c r="O66" s="157"/>
    </row>
    <row r="67" spans="1:15" s="165" customFormat="1" x14ac:dyDescent="0.4">
      <c r="A67" s="249" t="s">
        <v>1152</v>
      </c>
      <c r="B67" s="152"/>
      <c r="C67" s="221"/>
      <c r="D67" s="152"/>
      <c r="E67" s="152"/>
      <c r="F67" s="221" t="s">
        <v>1154</v>
      </c>
      <c r="G67" s="152">
        <v>4000</v>
      </c>
      <c r="H67" s="152" t="s">
        <v>47</v>
      </c>
      <c r="I67" s="152"/>
      <c r="J67" s="157"/>
      <c r="K67" s="157"/>
      <c r="L67" s="157"/>
      <c r="M67" s="205"/>
      <c r="N67" s="157"/>
      <c r="O67" s="157"/>
    </row>
    <row r="68" spans="1:15" s="165" customFormat="1" x14ac:dyDescent="0.4">
      <c r="A68" s="268"/>
      <c r="B68" s="231"/>
      <c r="C68" s="250"/>
      <c r="D68" s="251"/>
      <c r="E68" s="231"/>
      <c r="F68" s="247"/>
      <c r="G68" s="251"/>
      <c r="H68" s="251"/>
      <c r="I68" s="231"/>
      <c r="J68" s="230"/>
      <c r="K68" s="230"/>
      <c r="L68" s="230"/>
      <c r="M68" s="232"/>
    </row>
    <row r="69" spans="1:15" s="165" customFormat="1" x14ac:dyDescent="0.4">
      <c r="A69" s="233" t="s">
        <v>66</v>
      </c>
      <c r="B69" s="152"/>
      <c r="C69" s="234"/>
      <c r="D69" s="234"/>
      <c r="E69" s="152"/>
      <c r="F69" s="152"/>
      <c r="G69" s="234"/>
      <c r="H69" s="234"/>
      <c r="I69" s="152"/>
      <c r="J69" s="157"/>
      <c r="K69" s="157"/>
      <c r="L69" s="157"/>
      <c r="M69" s="205"/>
    </row>
    <row r="70" spans="1:15" s="165" customFormat="1" x14ac:dyDescent="0.4">
      <c r="A70" s="233" t="s">
        <v>828</v>
      </c>
      <c r="B70" s="235" t="s">
        <v>829</v>
      </c>
      <c r="C70" s="235" t="s">
        <v>830</v>
      </c>
      <c r="D70" s="235" t="s">
        <v>831</v>
      </c>
      <c r="E70" s="235" t="s">
        <v>817</v>
      </c>
      <c r="F70" s="235" t="s">
        <v>819</v>
      </c>
      <c r="G70" s="233" t="s">
        <v>833</v>
      </c>
      <c r="H70" s="235" t="s">
        <v>876</v>
      </c>
      <c r="I70" s="233"/>
      <c r="J70" s="233" t="s">
        <v>872</v>
      </c>
      <c r="K70" s="233" t="s">
        <v>877</v>
      </c>
      <c r="L70" s="233" t="s">
        <v>878</v>
      </c>
      <c r="M70" s="205"/>
      <c r="N70" s="235" t="s">
        <v>69</v>
      </c>
      <c r="O70" s="235" t="s">
        <v>834</v>
      </c>
    </row>
    <row r="71" spans="1:15" s="240" customFormat="1" x14ac:dyDescent="0.4">
      <c r="A71" s="236" t="s">
        <v>187</v>
      </c>
      <c r="B71" s="236"/>
      <c r="C71" s="237" t="s">
        <v>860</v>
      </c>
      <c r="D71" s="236"/>
      <c r="E71" s="236">
        <v>25600</v>
      </c>
      <c r="F71" s="238"/>
      <c r="G71" s="238"/>
      <c r="H71" s="236"/>
      <c r="I71" s="236"/>
      <c r="J71" s="236"/>
      <c r="K71" s="238"/>
      <c r="L71" s="238">
        <v>28</v>
      </c>
      <c r="M71" s="239"/>
      <c r="N71" s="236">
        <f t="shared" ref="N71:N95" si="0">E71*18%</f>
        <v>4608</v>
      </c>
      <c r="O71" s="236">
        <f t="shared" ref="O71:O95" si="1">E71+N71</f>
        <v>30208</v>
      </c>
    </row>
    <row r="72" spans="1:15" s="165" customFormat="1" x14ac:dyDescent="0.4">
      <c r="A72" s="152" t="s">
        <v>289</v>
      </c>
      <c r="B72" s="152"/>
      <c r="C72" s="152" t="s">
        <v>450</v>
      </c>
      <c r="D72" s="152"/>
      <c r="E72" s="152">
        <v>35765</v>
      </c>
      <c r="F72" s="157"/>
      <c r="G72" s="157"/>
      <c r="H72" s="152"/>
      <c r="I72" s="152"/>
      <c r="J72" s="152"/>
      <c r="K72" s="157"/>
      <c r="L72" s="157"/>
      <c r="M72" s="205"/>
      <c r="N72" s="152">
        <f t="shared" si="0"/>
        <v>6437.7</v>
      </c>
      <c r="O72" s="152">
        <f t="shared" si="1"/>
        <v>42202.7</v>
      </c>
    </row>
    <row r="73" spans="1:15" s="266" customFormat="1" x14ac:dyDescent="0.4">
      <c r="A73" s="262" t="s">
        <v>416</v>
      </c>
      <c r="B73" s="262"/>
      <c r="C73" s="263" t="s">
        <v>450</v>
      </c>
      <c r="D73" s="262"/>
      <c r="E73" s="262">
        <v>14500</v>
      </c>
      <c r="F73" s="264"/>
      <c r="G73" s="264"/>
      <c r="H73" s="262"/>
      <c r="I73" s="262"/>
      <c r="J73" s="262"/>
      <c r="K73" s="264"/>
      <c r="L73" s="264">
        <v>10</v>
      </c>
      <c r="M73" s="265"/>
      <c r="N73" s="262">
        <f t="shared" si="0"/>
        <v>2610</v>
      </c>
      <c r="O73" s="262">
        <f t="shared" si="1"/>
        <v>17110</v>
      </c>
    </row>
    <row r="74" spans="1:15" s="165" customFormat="1" x14ac:dyDescent="0.4">
      <c r="A74" s="152" t="s">
        <v>409</v>
      </c>
      <c r="B74" s="152"/>
      <c r="C74" s="152" t="s">
        <v>450</v>
      </c>
      <c r="D74" s="152"/>
      <c r="E74" s="152">
        <v>41469</v>
      </c>
      <c r="F74" s="152"/>
      <c r="G74" s="152"/>
      <c r="H74" s="152"/>
      <c r="I74" s="152"/>
      <c r="J74" s="152"/>
      <c r="K74" s="157"/>
      <c r="L74" s="157">
        <v>17</v>
      </c>
      <c r="M74" s="205"/>
      <c r="N74" s="152">
        <f t="shared" si="0"/>
        <v>7464.42</v>
      </c>
      <c r="O74" s="152">
        <f t="shared" si="1"/>
        <v>48933.42</v>
      </c>
    </row>
    <row r="75" spans="1:15" s="240" customFormat="1" x14ac:dyDescent="0.4">
      <c r="A75" s="236" t="s">
        <v>341</v>
      </c>
      <c r="B75" s="236"/>
      <c r="C75" s="237" t="s">
        <v>450</v>
      </c>
      <c r="D75" s="236"/>
      <c r="E75" s="236">
        <v>6000</v>
      </c>
      <c r="F75" s="238"/>
      <c r="G75" s="238"/>
      <c r="H75" s="236"/>
      <c r="I75" s="236"/>
      <c r="J75" s="236"/>
      <c r="K75" s="238"/>
      <c r="L75" s="238">
        <v>3</v>
      </c>
      <c r="M75" s="239"/>
      <c r="N75" s="236">
        <f t="shared" si="0"/>
        <v>1080</v>
      </c>
      <c r="O75" s="236">
        <f t="shared" si="1"/>
        <v>7080</v>
      </c>
    </row>
    <row r="76" spans="1:15" s="244" customFormat="1" x14ac:dyDescent="0.4">
      <c r="A76" s="242" t="s">
        <v>70</v>
      </c>
      <c r="B76" s="242"/>
      <c r="C76" s="242" t="s">
        <v>450</v>
      </c>
      <c r="D76" s="242"/>
      <c r="E76" s="242">
        <v>2800</v>
      </c>
      <c r="F76" s="242"/>
      <c r="G76" s="242"/>
      <c r="H76" s="242"/>
      <c r="I76" s="242"/>
      <c r="J76" s="242"/>
      <c r="K76" s="241"/>
      <c r="L76" s="241">
        <v>4</v>
      </c>
      <c r="M76" s="243"/>
      <c r="N76" s="242">
        <f t="shared" si="0"/>
        <v>504</v>
      </c>
      <c r="O76" s="242">
        <f t="shared" si="1"/>
        <v>3304</v>
      </c>
    </row>
    <row r="77" spans="1:15" s="260" customFormat="1" x14ac:dyDescent="0.4">
      <c r="A77" s="260" t="s">
        <v>1066</v>
      </c>
      <c r="C77" s="261">
        <v>46026</v>
      </c>
      <c r="F77" s="261">
        <v>46330</v>
      </c>
      <c r="G77" s="260">
        <v>4720</v>
      </c>
      <c r="H77" s="260" t="s">
        <v>1065</v>
      </c>
    </row>
    <row r="78" spans="1:15" s="244" customFormat="1" x14ac:dyDescent="0.4">
      <c r="A78" s="242" t="s">
        <v>902</v>
      </c>
      <c r="B78" s="242">
        <v>9790299900</v>
      </c>
      <c r="C78" s="245">
        <v>46145</v>
      </c>
      <c r="D78" s="242"/>
      <c r="E78" s="242">
        <v>4000</v>
      </c>
      <c r="F78" s="241" t="s">
        <v>1082</v>
      </c>
      <c r="G78" s="242">
        <v>6785</v>
      </c>
      <c r="H78" s="242" t="s">
        <v>1065</v>
      </c>
      <c r="I78" s="242">
        <v>17</v>
      </c>
      <c r="J78" s="242"/>
      <c r="K78" s="241"/>
      <c r="L78" s="241">
        <v>1</v>
      </c>
      <c r="M78" s="243"/>
      <c r="N78" s="242">
        <f t="shared" si="0"/>
        <v>720</v>
      </c>
      <c r="O78" s="242">
        <f t="shared" si="1"/>
        <v>4720</v>
      </c>
    </row>
    <row r="79" spans="1:15" s="244" customFormat="1" x14ac:dyDescent="0.4">
      <c r="A79" s="242" t="s">
        <v>791</v>
      </c>
      <c r="B79" s="242">
        <v>9952955111</v>
      </c>
      <c r="C79" s="242">
        <v>46025</v>
      </c>
      <c r="D79" s="242"/>
      <c r="E79" s="242">
        <v>2000</v>
      </c>
      <c r="F79" s="242"/>
      <c r="G79" s="242"/>
      <c r="H79" s="242" t="s">
        <v>1046</v>
      </c>
      <c r="I79" s="242"/>
      <c r="J79" s="242"/>
      <c r="K79" s="241"/>
      <c r="L79" s="241">
        <v>1</v>
      </c>
      <c r="M79" s="243"/>
      <c r="N79" s="242">
        <f t="shared" si="0"/>
        <v>360</v>
      </c>
      <c r="O79" s="242">
        <f t="shared" si="1"/>
        <v>2360</v>
      </c>
    </row>
    <row r="80" spans="1:15" s="244" customFormat="1" x14ac:dyDescent="0.4">
      <c r="A80" s="242" t="s">
        <v>459</v>
      </c>
      <c r="B80" s="242"/>
      <c r="C80" s="242" t="s">
        <v>893</v>
      </c>
      <c r="D80" s="242"/>
      <c r="E80" s="242">
        <v>4000</v>
      </c>
      <c r="F80" s="242"/>
      <c r="G80" s="242"/>
      <c r="H80" s="242"/>
      <c r="I80" s="242"/>
      <c r="J80" s="242"/>
      <c r="K80" s="241"/>
      <c r="L80" s="241">
        <v>2</v>
      </c>
      <c r="M80" s="243"/>
      <c r="N80" s="242">
        <f t="shared" si="0"/>
        <v>720</v>
      </c>
      <c r="O80" s="242">
        <f t="shared" si="1"/>
        <v>4720</v>
      </c>
    </row>
    <row r="81" spans="1:15" s="244" customFormat="1" x14ac:dyDescent="0.4">
      <c r="A81" s="242" t="s">
        <v>434</v>
      </c>
      <c r="B81" s="242"/>
      <c r="C81" s="242" t="s">
        <v>893</v>
      </c>
      <c r="D81" s="242"/>
      <c r="E81" s="242">
        <v>14475</v>
      </c>
      <c r="F81" s="242" t="s">
        <v>1110</v>
      </c>
      <c r="G81" s="242">
        <v>17081</v>
      </c>
      <c r="H81" s="259"/>
      <c r="I81" s="242"/>
      <c r="J81" s="242"/>
      <c r="K81" s="241"/>
      <c r="L81" s="241">
        <v>8</v>
      </c>
      <c r="M81" s="243"/>
      <c r="N81" s="242">
        <f t="shared" si="0"/>
        <v>2605.5</v>
      </c>
      <c r="O81" s="242">
        <f t="shared" si="1"/>
        <v>17080.5</v>
      </c>
    </row>
    <row r="82" spans="1:15" s="244" customFormat="1" x14ac:dyDescent="0.4">
      <c r="A82" s="242" t="s">
        <v>701</v>
      </c>
      <c r="B82" s="242">
        <v>7794025725</v>
      </c>
      <c r="C82" s="242" t="s">
        <v>708</v>
      </c>
      <c r="D82" s="242"/>
      <c r="E82" s="242">
        <v>17300</v>
      </c>
      <c r="F82" s="242" t="s">
        <v>1140</v>
      </c>
      <c r="G82" s="242">
        <v>24338</v>
      </c>
      <c r="H82" s="259" t="s">
        <v>1065</v>
      </c>
      <c r="I82" s="242"/>
      <c r="J82" s="242"/>
      <c r="K82" s="241"/>
      <c r="L82" s="241">
        <v>10</v>
      </c>
      <c r="M82" s="243"/>
      <c r="N82" s="242">
        <f t="shared" si="0"/>
        <v>3114</v>
      </c>
      <c r="O82" s="242">
        <f t="shared" si="1"/>
        <v>20414</v>
      </c>
    </row>
    <row r="83" spans="1:15" s="165" customFormat="1" x14ac:dyDescent="0.4">
      <c r="A83" s="152" t="s">
        <v>709</v>
      </c>
      <c r="B83" s="152">
        <v>9043035545</v>
      </c>
      <c r="C83" s="152" t="s">
        <v>707</v>
      </c>
      <c r="D83" s="152"/>
      <c r="E83" s="152">
        <v>16000</v>
      </c>
      <c r="F83" s="152" t="s">
        <v>1166</v>
      </c>
      <c r="G83" s="152">
        <v>18800</v>
      </c>
      <c r="H83" s="152" t="s">
        <v>1065</v>
      </c>
      <c r="I83" s="152"/>
      <c r="J83" s="152"/>
      <c r="K83" s="157"/>
      <c r="L83" s="157">
        <v>1</v>
      </c>
      <c r="M83" s="205"/>
      <c r="N83" s="152">
        <f t="shared" si="0"/>
        <v>2880</v>
      </c>
      <c r="O83" s="152">
        <f t="shared" si="1"/>
        <v>18880</v>
      </c>
    </row>
    <row r="84" spans="1:15" s="165" customFormat="1" ht="16.5" customHeight="1" x14ac:dyDescent="0.4">
      <c r="A84" s="152" t="s">
        <v>604</v>
      </c>
      <c r="B84" s="152">
        <v>9442130825</v>
      </c>
      <c r="C84" s="152" t="s">
        <v>707</v>
      </c>
      <c r="D84" s="152"/>
      <c r="E84" s="152">
        <v>12500</v>
      </c>
      <c r="F84" s="152"/>
      <c r="G84" s="152"/>
      <c r="H84" s="152"/>
      <c r="I84" s="152"/>
      <c r="J84" s="152"/>
      <c r="K84" s="157"/>
      <c r="L84" s="157">
        <v>2</v>
      </c>
      <c r="M84" s="205"/>
      <c r="N84" s="152">
        <f t="shared" si="0"/>
        <v>2250</v>
      </c>
      <c r="O84" s="152">
        <f t="shared" si="1"/>
        <v>14750</v>
      </c>
    </row>
    <row r="85" spans="1:15" s="165" customFormat="1" x14ac:dyDescent="0.4">
      <c r="A85" s="242" t="s">
        <v>835</v>
      </c>
      <c r="B85" s="152"/>
      <c r="C85" s="152" t="s">
        <v>795</v>
      </c>
      <c r="D85" s="152"/>
      <c r="E85" s="152">
        <f>9*1600</f>
        <v>14400</v>
      </c>
      <c r="F85" s="221">
        <v>46328</v>
      </c>
      <c r="G85" s="152">
        <v>11800</v>
      </c>
      <c r="H85" s="152" t="s">
        <v>1065</v>
      </c>
      <c r="I85" s="152"/>
      <c r="J85" s="152"/>
      <c r="K85" s="157"/>
      <c r="L85" s="157">
        <v>8</v>
      </c>
      <c r="M85" s="205"/>
      <c r="N85" s="152">
        <f t="shared" si="0"/>
        <v>2592</v>
      </c>
      <c r="O85" s="152">
        <f t="shared" si="1"/>
        <v>16992</v>
      </c>
    </row>
    <row r="86" spans="1:15" s="165" customFormat="1" x14ac:dyDescent="0.4">
      <c r="A86" s="152" t="s">
        <v>405</v>
      </c>
      <c r="B86" s="152"/>
      <c r="C86" s="152" t="s">
        <v>852</v>
      </c>
      <c r="D86" s="152"/>
      <c r="E86" s="152">
        <v>1400</v>
      </c>
      <c r="F86" s="152" t="s">
        <v>1082</v>
      </c>
      <c r="G86" s="152">
        <v>1652</v>
      </c>
      <c r="H86" s="152" t="s">
        <v>1065</v>
      </c>
      <c r="I86" s="152"/>
      <c r="J86" s="152"/>
      <c r="K86" s="157"/>
      <c r="L86" s="157">
        <v>1</v>
      </c>
      <c r="M86" s="205"/>
      <c r="N86" s="152">
        <f t="shared" si="0"/>
        <v>252</v>
      </c>
      <c r="O86" s="152">
        <f t="shared" si="1"/>
        <v>1652</v>
      </c>
    </row>
    <row r="87" spans="1:15" s="165" customFormat="1" x14ac:dyDescent="0.4">
      <c r="A87" s="152" t="s">
        <v>405</v>
      </c>
      <c r="B87" s="152"/>
      <c r="C87" s="152" t="s">
        <v>972</v>
      </c>
      <c r="D87" s="152"/>
      <c r="E87" s="152">
        <v>2800</v>
      </c>
      <c r="F87" s="152"/>
      <c r="G87" s="152"/>
      <c r="H87" s="152"/>
      <c r="I87" s="152"/>
      <c r="J87" s="152"/>
      <c r="K87" s="157"/>
      <c r="L87" s="157">
        <v>2</v>
      </c>
      <c r="M87" s="205"/>
      <c r="N87" s="152"/>
      <c r="O87" s="152"/>
    </row>
    <row r="88" spans="1:15" s="165" customFormat="1" x14ac:dyDescent="0.4">
      <c r="A88" s="152" t="s">
        <v>836</v>
      </c>
      <c r="B88" s="152"/>
      <c r="C88" s="152" t="s">
        <v>1000</v>
      </c>
      <c r="D88" s="152"/>
      <c r="E88" s="152">
        <v>3000</v>
      </c>
      <c r="F88" s="152" t="s">
        <v>1090</v>
      </c>
      <c r="G88" s="152">
        <v>83894</v>
      </c>
      <c r="H88" s="152" t="s">
        <v>1065</v>
      </c>
      <c r="I88" s="152"/>
      <c r="J88" s="152"/>
      <c r="K88" s="157"/>
      <c r="L88" s="157">
        <v>1</v>
      </c>
      <c r="M88" s="205"/>
      <c r="N88" s="152"/>
      <c r="O88" s="152"/>
    </row>
    <row r="89" spans="1:15" s="165" customFormat="1" x14ac:dyDescent="0.4">
      <c r="A89" s="152" t="s">
        <v>836</v>
      </c>
      <c r="B89" s="152"/>
      <c r="C89" s="152" t="s">
        <v>999</v>
      </c>
      <c r="D89" s="152"/>
      <c r="E89" s="152">
        <v>29400</v>
      </c>
      <c r="F89" s="152" t="s">
        <v>1090</v>
      </c>
      <c r="G89" s="152" t="s">
        <v>1091</v>
      </c>
      <c r="H89" s="152" t="s">
        <v>1065</v>
      </c>
      <c r="I89" s="152"/>
      <c r="J89" s="152"/>
      <c r="K89" s="157"/>
      <c r="L89" s="157">
        <v>17</v>
      </c>
      <c r="M89" s="205"/>
      <c r="N89" s="152"/>
      <c r="O89" s="152"/>
    </row>
    <row r="90" spans="1:15" s="165" customFormat="1" x14ac:dyDescent="0.4">
      <c r="A90" s="152" t="s">
        <v>836</v>
      </c>
      <c r="B90" s="152"/>
      <c r="C90" s="152" t="s">
        <v>852</v>
      </c>
      <c r="D90" s="152"/>
      <c r="E90" s="152">
        <v>36800</v>
      </c>
      <c r="F90" s="152" t="s">
        <v>1090</v>
      </c>
      <c r="G90" s="152" t="s">
        <v>1091</v>
      </c>
      <c r="H90" s="152" t="s">
        <v>1065</v>
      </c>
      <c r="I90" s="152"/>
      <c r="J90" s="152"/>
      <c r="K90" s="157"/>
      <c r="L90" s="157">
        <v>16</v>
      </c>
      <c r="M90" s="205"/>
      <c r="N90" s="152">
        <f t="shared" si="0"/>
        <v>6624</v>
      </c>
      <c r="O90" s="152">
        <f t="shared" si="1"/>
        <v>43424</v>
      </c>
    </row>
    <row r="91" spans="1:15" s="244" customFormat="1" x14ac:dyDescent="0.4">
      <c r="A91" s="242" t="s">
        <v>454</v>
      </c>
      <c r="B91" s="242"/>
      <c r="C91" s="242" t="s">
        <v>847</v>
      </c>
      <c r="D91" s="242"/>
      <c r="E91" s="242">
        <v>2100</v>
      </c>
      <c r="F91" s="242" t="s">
        <v>1082</v>
      </c>
      <c r="G91" s="242">
        <v>2478</v>
      </c>
      <c r="H91" s="242" t="s">
        <v>1065</v>
      </c>
      <c r="I91" s="259" t="s">
        <v>1089</v>
      </c>
      <c r="J91" s="242"/>
      <c r="K91" s="241"/>
      <c r="L91" s="241">
        <v>1</v>
      </c>
      <c r="M91" s="243"/>
      <c r="N91" s="242">
        <f t="shared" si="0"/>
        <v>378</v>
      </c>
      <c r="O91" s="242">
        <f t="shared" si="1"/>
        <v>2478</v>
      </c>
    </row>
    <row r="92" spans="1:15" s="165" customFormat="1" x14ac:dyDescent="0.4">
      <c r="A92" s="152" t="s">
        <v>520</v>
      </c>
      <c r="B92" s="152"/>
      <c r="C92" s="152" t="s">
        <v>846</v>
      </c>
      <c r="D92" s="152"/>
      <c r="E92" s="152">
        <v>41746</v>
      </c>
      <c r="F92" s="152"/>
      <c r="G92" s="152"/>
      <c r="H92" s="152"/>
      <c r="I92" s="152"/>
      <c r="J92" s="152"/>
      <c r="K92" s="157"/>
      <c r="L92" s="157">
        <v>7</v>
      </c>
      <c r="M92" s="205"/>
      <c r="N92" s="152">
        <f t="shared" si="0"/>
        <v>7514.28</v>
      </c>
      <c r="O92" s="152">
        <f t="shared" si="1"/>
        <v>49260.28</v>
      </c>
    </row>
    <row r="93" spans="1:15" s="199" customFormat="1" x14ac:dyDescent="0.4">
      <c r="A93" s="175" t="s">
        <v>1045</v>
      </c>
      <c r="B93" s="175">
        <v>7010148704</v>
      </c>
      <c r="C93" s="175" t="s">
        <v>1148</v>
      </c>
      <c r="D93" s="175"/>
      <c r="E93" s="175">
        <v>13750</v>
      </c>
      <c r="F93" s="175"/>
      <c r="G93" s="175"/>
      <c r="H93" s="175"/>
      <c r="I93" s="175"/>
      <c r="J93" s="175"/>
      <c r="K93" s="149"/>
      <c r="L93" s="149"/>
      <c r="M93" s="198"/>
      <c r="N93" s="175"/>
      <c r="O93" s="175"/>
    </row>
    <row r="94" spans="1:15" s="240" customFormat="1" x14ac:dyDescent="0.4">
      <c r="A94" s="242" t="s">
        <v>1044</v>
      </c>
      <c r="B94" s="242">
        <v>8870214412</v>
      </c>
      <c r="C94" s="245">
        <v>46116</v>
      </c>
      <c r="D94" s="242"/>
      <c r="E94" s="242">
        <f>1700*3</f>
        <v>5100</v>
      </c>
      <c r="F94" s="236"/>
      <c r="G94" s="236"/>
      <c r="H94" s="236"/>
      <c r="I94" s="236"/>
      <c r="J94" s="236"/>
      <c r="K94" s="238"/>
      <c r="L94" s="238">
        <v>1</v>
      </c>
      <c r="M94" s="239"/>
      <c r="N94" s="236">
        <f t="shared" si="0"/>
        <v>918</v>
      </c>
      <c r="O94" s="236">
        <f t="shared" si="1"/>
        <v>6018</v>
      </c>
    </row>
    <row r="95" spans="1:15" s="165" customFormat="1" x14ac:dyDescent="0.4">
      <c r="A95" s="152" t="s">
        <v>291</v>
      </c>
      <c r="B95" s="152"/>
      <c r="C95" s="152" t="s">
        <v>998</v>
      </c>
      <c r="D95" s="152"/>
      <c r="E95" s="152">
        <v>2500</v>
      </c>
      <c r="F95" s="152"/>
      <c r="G95" s="152"/>
      <c r="H95" s="154"/>
      <c r="I95" s="267"/>
      <c r="J95" s="154"/>
      <c r="K95" s="157"/>
      <c r="L95" s="157">
        <v>1</v>
      </c>
      <c r="M95" s="205"/>
      <c r="N95" s="152">
        <f t="shared" si="0"/>
        <v>450</v>
      </c>
      <c r="O95" s="152">
        <f t="shared" si="1"/>
        <v>2950</v>
      </c>
    </row>
    <row r="96" spans="1:15" s="165" customFormat="1" x14ac:dyDescent="0.4">
      <c r="A96" s="233" t="s">
        <v>828</v>
      </c>
      <c r="B96" s="235" t="s">
        <v>829</v>
      </c>
      <c r="C96" s="235" t="s">
        <v>830</v>
      </c>
      <c r="D96" s="235" t="s">
        <v>831</v>
      </c>
      <c r="E96" s="235" t="s">
        <v>817</v>
      </c>
      <c r="F96" s="235" t="s">
        <v>819</v>
      </c>
      <c r="G96" s="233" t="s">
        <v>833</v>
      </c>
      <c r="H96" s="235" t="s">
        <v>876</v>
      </c>
      <c r="I96" s="233"/>
      <c r="J96" s="233" t="s">
        <v>872</v>
      </c>
      <c r="K96" s="233" t="s">
        <v>877</v>
      </c>
      <c r="L96" s="233" t="s">
        <v>878</v>
      </c>
      <c r="M96" s="205"/>
      <c r="N96" s="235" t="s">
        <v>69</v>
      </c>
      <c r="O96" s="235" t="s">
        <v>834</v>
      </c>
    </row>
    <row r="99" spans="13:13" x14ac:dyDescent="0.4">
      <c r="M99" s="162">
        <v>16</v>
      </c>
    </row>
  </sheetData>
  <autoFilter ref="A1:P67"/>
  <hyperlinks>
    <hyperlink ref="I91" r:id="rId1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C50" sqref="C50"/>
    </sheetView>
  </sheetViews>
  <sheetFormatPr defaultColWidth="9.1796875" defaultRowHeight="17" x14ac:dyDescent="0.4"/>
  <cols>
    <col min="1" max="1" width="52.1796875" style="311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11.453125" style="172" bestFit="1" customWidth="1"/>
    <col min="6" max="6" width="13.81640625" style="172" bestFit="1" customWidth="1"/>
    <col min="7" max="7" width="14" style="172" customWidth="1"/>
    <col min="8" max="8" width="26.54296875" style="172" customWidth="1"/>
    <col min="9" max="9" width="29.54296875" style="172" bestFit="1" customWidth="1"/>
    <col min="10" max="10" width="12.54296875" style="162" customWidth="1"/>
    <col min="11" max="11" width="17.54296875" style="162" bestFit="1" customWidth="1"/>
    <col min="12" max="12" width="9.1796875" style="162"/>
    <col min="13" max="13" width="20.1796875" style="162" bestFit="1" customWidth="1"/>
    <col min="14" max="16384" width="9.1796875" style="162"/>
  </cols>
  <sheetData>
    <row r="1" spans="1:15" s="159" customFormat="1" ht="17.25" x14ac:dyDescent="0.3">
      <c r="A1" s="303" t="s">
        <v>188</v>
      </c>
      <c r="B1" s="144" t="s">
        <v>815</v>
      </c>
      <c r="C1" s="144" t="s">
        <v>816</v>
      </c>
      <c r="D1" s="144" t="s">
        <v>891</v>
      </c>
      <c r="E1" s="144" t="s">
        <v>817</v>
      </c>
      <c r="F1" s="144" t="s">
        <v>1037</v>
      </c>
      <c r="G1" s="144" t="s">
        <v>1038</v>
      </c>
      <c r="H1" s="144" t="s">
        <v>1036</v>
      </c>
      <c r="I1" s="144" t="s">
        <v>1040</v>
      </c>
      <c r="J1" s="143" t="s">
        <v>872</v>
      </c>
      <c r="K1" s="143" t="s">
        <v>881</v>
      </c>
      <c r="L1" s="143" t="s">
        <v>878</v>
      </c>
      <c r="M1" s="143" t="s">
        <v>879</v>
      </c>
      <c r="N1" s="158" t="s">
        <v>899</v>
      </c>
      <c r="O1" s="158"/>
    </row>
    <row r="2" spans="1:15" s="51" customFormat="1" ht="18.75" x14ac:dyDescent="0.3">
      <c r="A2" s="249" t="s">
        <v>0</v>
      </c>
      <c r="B2" s="152">
        <v>7299917887</v>
      </c>
      <c r="C2" s="152" t="s">
        <v>860</v>
      </c>
      <c r="D2" s="152" t="s">
        <v>1457</v>
      </c>
      <c r="E2" s="152">
        <v>18300</v>
      </c>
      <c r="F2" s="152"/>
      <c r="G2" s="173"/>
      <c r="H2" s="152"/>
      <c r="I2" s="152"/>
      <c r="J2" s="74"/>
      <c r="K2" s="74"/>
      <c r="L2" s="205">
        <v>15</v>
      </c>
      <c r="M2" s="205" t="s">
        <v>895</v>
      </c>
      <c r="N2" s="205"/>
      <c r="O2" s="205"/>
    </row>
    <row r="3" spans="1:15" s="51" customFormat="1" ht="18.75" x14ac:dyDescent="0.3">
      <c r="A3" s="249" t="s">
        <v>0</v>
      </c>
      <c r="B3" s="152">
        <v>7299917887</v>
      </c>
      <c r="C3" s="221">
        <v>46147</v>
      </c>
      <c r="D3" s="152"/>
      <c r="E3" s="152">
        <v>3000</v>
      </c>
      <c r="F3" s="152"/>
      <c r="G3" s="173"/>
      <c r="H3" s="152"/>
      <c r="I3" s="152"/>
      <c r="J3" s="74"/>
      <c r="K3" s="74"/>
      <c r="L3" s="205" t="s">
        <v>1416</v>
      </c>
      <c r="M3" s="205" t="s">
        <v>1417</v>
      </c>
      <c r="N3" s="205"/>
      <c r="O3" s="205"/>
    </row>
    <row r="4" spans="1:15" s="220" customFormat="1" ht="17.25" x14ac:dyDescent="0.3">
      <c r="A4" s="304" t="s">
        <v>36</v>
      </c>
      <c r="B4" s="195">
        <v>7904401435</v>
      </c>
      <c r="C4" s="195" t="s">
        <v>23</v>
      </c>
      <c r="D4" s="195"/>
      <c r="E4" s="195">
        <v>1750</v>
      </c>
      <c r="F4" s="195" t="s">
        <v>1373</v>
      </c>
      <c r="G4" s="195">
        <v>1750</v>
      </c>
      <c r="H4" s="195" t="s">
        <v>798</v>
      </c>
      <c r="I4" s="183"/>
      <c r="J4" s="218"/>
      <c r="K4" s="218"/>
      <c r="L4" s="218">
        <v>1</v>
      </c>
      <c r="M4" s="219">
        <v>1750</v>
      </c>
      <c r="N4" s="218"/>
      <c r="O4" s="218"/>
    </row>
    <row r="5" spans="1:15" s="220" customFormat="1" ht="17.25" x14ac:dyDescent="0.3">
      <c r="A5" s="304" t="s">
        <v>989</v>
      </c>
      <c r="B5" s="195">
        <v>9840940298</v>
      </c>
      <c r="C5" s="222">
        <v>45780</v>
      </c>
      <c r="D5" s="222"/>
      <c r="E5" s="195">
        <v>3000</v>
      </c>
      <c r="F5" s="222">
        <v>46147</v>
      </c>
      <c r="G5" s="195">
        <v>3000</v>
      </c>
      <c r="H5" s="195" t="s">
        <v>47</v>
      </c>
      <c r="I5" s="183"/>
      <c r="J5" s="218"/>
      <c r="K5" s="218"/>
      <c r="L5" s="218"/>
      <c r="M5" s="219"/>
      <c r="N5" s="218"/>
      <c r="O5" s="218"/>
    </row>
    <row r="6" spans="1:15" s="165" customFormat="1" ht="17.25" x14ac:dyDescent="0.3">
      <c r="A6" s="249" t="s">
        <v>248</v>
      </c>
      <c r="B6" s="152">
        <v>7550283099</v>
      </c>
      <c r="C6" s="152" t="s">
        <v>44</v>
      </c>
      <c r="D6" s="152">
        <v>6800</v>
      </c>
      <c r="E6" s="152">
        <v>6800</v>
      </c>
      <c r="F6" s="221"/>
      <c r="G6" s="147"/>
      <c r="H6" s="152"/>
      <c r="I6" s="152"/>
      <c r="J6" s="157"/>
      <c r="K6" s="157"/>
      <c r="L6" s="157">
        <v>4</v>
      </c>
      <c r="M6" s="205" t="s">
        <v>944</v>
      </c>
      <c r="N6" s="157"/>
      <c r="O6" s="157"/>
    </row>
    <row r="7" spans="1:15" s="51" customFormat="1" ht="18.75" x14ac:dyDescent="0.3">
      <c r="A7" s="249" t="s">
        <v>988</v>
      </c>
      <c r="B7" s="152">
        <v>7904622354</v>
      </c>
      <c r="C7" s="152" t="s">
        <v>46</v>
      </c>
      <c r="D7" s="152"/>
      <c r="E7" s="152">
        <v>3000</v>
      </c>
      <c r="F7" s="221"/>
      <c r="G7" s="152"/>
      <c r="H7" s="152"/>
      <c r="I7" s="152"/>
      <c r="J7" s="74"/>
      <c r="K7" s="74"/>
      <c r="L7" s="205">
        <v>1</v>
      </c>
      <c r="M7" s="205">
        <v>3000</v>
      </c>
      <c r="N7" s="205"/>
      <c r="O7" s="205"/>
    </row>
    <row r="8" spans="1:15" s="220" customFormat="1" ht="17.25" x14ac:dyDescent="0.3">
      <c r="A8" s="304" t="s">
        <v>60</v>
      </c>
      <c r="B8" s="195">
        <v>8925124442</v>
      </c>
      <c r="C8" s="222">
        <v>45661</v>
      </c>
      <c r="D8" s="195">
        <v>6500</v>
      </c>
      <c r="E8" s="195">
        <v>1500</v>
      </c>
      <c r="F8" s="222">
        <v>46331</v>
      </c>
      <c r="G8" s="195">
        <v>7000</v>
      </c>
      <c r="H8" s="195" t="s">
        <v>42</v>
      </c>
      <c r="I8" s="183"/>
      <c r="J8" s="223"/>
      <c r="K8" s="218"/>
      <c r="L8" s="218">
        <v>1</v>
      </c>
      <c r="M8" s="205">
        <v>1500</v>
      </c>
      <c r="N8" s="218"/>
      <c r="O8" s="218"/>
    </row>
    <row r="9" spans="1:15" s="165" customFormat="1" ht="17.25" x14ac:dyDescent="0.3">
      <c r="A9" s="249" t="s">
        <v>223</v>
      </c>
      <c r="B9" s="152">
        <v>8148141825</v>
      </c>
      <c r="C9" s="152" t="s">
        <v>106</v>
      </c>
      <c r="D9" s="152"/>
      <c r="E9" s="195">
        <v>5000</v>
      </c>
      <c r="F9" s="152"/>
      <c r="G9" s="147"/>
      <c r="H9" s="152"/>
      <c r="I9" s="152"/>
      <c r="J9" s="157"/>
      <c r="K9" s="157"/>
      <c r="L9" s="157">
        <v>3</v>
      </c>
      <c r="M9" s="205" t="s">
        <v>945</v>
      </c>
      <c r="N9" s="157"/>
      <c r="O9" s="157"/>
    </row>
    <row r="10" spans="1:15" s="51" customFormat="1" ht="18.75" x14ac:dyDescent="0.3">
      <c r="A10" s="249" t="s">
        <v>160</v>
      </c>
      <c r="B10" s="152">
        <v>8825663180</v>
      </c>
      <c r="C10" s="152" t="s">
        <v>161</v>
      </c>
      <c r="D10" s="152"/>
      <c r="E10" s="152">
        <v>1750</v>
      </c>
      <c r="F10" s="152" t="s">
        <v>1376</v>
      </c>
      <c r="G10" s="147">
        <v>1750</v>
      </c>
      <c r="H10" s="152" t="s">
        <v>798</v>
      </c>
      <c r="I10" s="152"/>
      <c r="J10" s="74"/>
      <c r="K10" s="74"/>
      <c r="L10" s="157">
        <v>1</v>
      </c>
      <c r="M10" s="205">
        <v>1750</v>
      </c>
      <c r="N10" s="205"/>
      <c r="O10" s="205"/>
    </row>
    <row r="11" spans="1:15" s="51" customFormat="1" ht="18.75" x14ac:dyDescent="0.3">
      <c r="A11" s="249" t="s">
        <v>7</v>
      </c>
      <c r="B11" s="152">
        <v>9840168557</v>
      </c>
      <c r="C11" s="152" t="s">
        <v>1075</v>
      </c>
      <c r="D11" s="152"/>
      <c r="E11" s="152">
        <v>6000</v>
      </c>
      <c r="F11" s="152" t="s">
        <v>1547</v>
      </c>
      <c r="G11" s="147">
        <v>6000</v>
      </c>
      <c r="H11" s="152" t="s">
        <v>42</v>
      </c>
      <c r="I11" s="152"/>
      <c r="J11" s="74"/>
      <c r="K11" s="74"/>
      <c r="L11" s="205">
        <v>2</v>
      </c>
      <c r="M11" s="205">
        <v>2000</v>
      </c>
      <c r="N11" s="205"/>
      <c r="O11" s="205"/>
    </row>
    <row r="12" spans="1:15" s="165" customFormat="1" ht="17.25" x14ac:dyDescent="0.3">
      <c r="A12" s="249" t="s">
        <v>266</v>
      </c>
      <c r="B12" s="152">
        <v>6385458304</v>
      </c>
      <c r="C12" s="152" t="s">
        <v>259</v>
      </c>
      <c r="D12" s="152"/>
      <c r="E12" s="152">
        <v>2200</v>
      </c>
      <c r="F12" s="152" t="s">
        <v>1530</v>
      </c>
      <c r="G12" s="147">
        <v>2200</v>
      </c>
      <c r="H12" s="152" t="s">
        <v>798</v>
      </c>
      <c r="I12" s="152"/>
      <c r="J12" s="157"/>
      <c r="K12" s="157"/>
      <c r="L12" s="205">
        <v>1</v>
      </c>
      <c r="M12" s="205">
        <v>2200</v>
      </c>
      <c r="N12" s="157"/>
      <c r="O12" s="157"/>
    </row>
    <row r="13" spans="1:15" s="51" customFormat="1" ht="18.75" x14ac:dyDescent="0.3">
      <c r="A13" s="249" t="s">
        <v>987</v>
      </c>
      <c r="B13" s="152">
        <v>9791050538</v>
      </c>
      <c r="C13" s="152" t="s">
        <v>279</v>
      </c>
      <c r="D13" s="152"/>
      <c r="E13" s="152">
        <v>3400</v>
      </c>
      <c r="F13" s="221" t="s">
        <v>1364</v>
      </c>
      <c r="G13" s="147">
        <v>3400</v>
      </c>
      <c r="H13" s="152" t="s">
        <v>798</v>
      </c>
      <c r="I13" s="152"/>
      <c r="J13" s="224"/>
      <c r="K13" s="74"/>
      <c r="L13" s="205">
        <v>1</v>
      </c>
      <c r="M13" s="205">
        <v>3400</v>
      </c>
      <c r="N13" s="205"/>
      <c r="O13" s="205"/>
    </row>
    <row r="14" spans="1:15" s="227" customFormat="1" ht="17.25" x14ac:dyDescent="0.3">
      <c r="A14" s="226" t="s">
        <v>767</v>
      </c>
      <c r="B14" s="147">
        <v>8925023082</v>
      </c>
      <c r="C14" s="147" t="s">
        <v>294</v>
      </c>
      <c r="D14" s="147"/>
      <c r="E14" s="147">
        <v>8000</v>
      </c>
      <c r="F14" s="147"/>
      <c r="G14" s="147"/>
      <c r="H14" s="147"/>
      <c r="I14" s="147" t="s">
        <v>822</v>
      </c>
      <c r="J14" s="226"/>
      <c r="K14" s="225"/>
      <c r="L14" s="225">
        <v>8</v>
      </c>
      <c r="M14" s="205">
        <v>2100</v>
      </c>
      <c r="N14" s="225"/>
      <c r="O14" s="225"/>
    </row>
    <row r="15" spans="1:15" s="165" customFormat="1" ht="17.25" x14ac:dyDescent="0.3">
      <c r="A15" s="249" t="s">
        <v>330</v>
      </c>
      <c r="B15" s="152">
        <v>9884664943</v>
      </c>
      <c r="C15" s="152" t="s">
        <v>329</v>
      </c>
      <c r="D15" s="152"/>
      <c r="E15" s="152">
        <v>2000</v>
      </c>
      <c r="F15" s="221"/>
      <c r="G15" s="152"/>
      <c r="H15" s="152"/>
      <c r="I15" s="152"/>
      <c r="J15" s="157"/>
      <c r="K15" s="157"/>
      <c r="L15" s="157">
        <v>1</v>
      </c>
      <c r="M15" s="205">
        <v>2000</v>
      </c>
      <c r="N15" s="157"/>
      <c r="O15" s="157"/>
    </row>
    <row r="16" spans="1:15" s="51" customFormat="1" ht="18.75" x14ac:dyDescent="0.3">
      <c r="A16" s="249" t="s">
        <v>343</v>
      </c>
      <c r="B16" s="152">
        <v>9940440423</v>
      </c>
      <c r="C16" s="152" t="s">
        <v>337</v>
      </c>
      <c r="D16" s="152"/>
      <c r="E16" s="152">
        <v>1800</v>
      </c>
      <c r="F16" s="221">
        <v>46178</v>
      </c>
      <c r="G16" s="147">
        <v>1800</v>
      </c>
      <c r="H16" s="152" t="s">
        <v>798</v>
      </c>
      <c r="I16" s="152"/>
      <c r="J16" s="74"/>
      <c r="K16" s="74"/>
      <c r="L16" s="205">
        <v>1</v>
      </c>
      <c r="M16" s="205">
        <v>1800</v>
      </c>
      <c r="N16" s="205"/>
      <c r="O16" s="205"/>
    </row>
    <row r="17" spans="1:26" s="165" customFormat="1" ht="17.25" x14ac:dyDescent="0.3">
      <c r="A17" s="249" t="s">
        <v>349</v>
      </c>
      <c r="B17" s="152">
        <v>9884873355</v>
      </c>
      <c r="C17" s="152" t="s">
        <v>353</v>
      </c>
      <c r="D17" s="152">
        <f>14762+4600</f>
        <v>19362</v>
      </c>
      <c r="E17" s="152">
        <v>4600</v>
      </c>
      <c r="F17" s="221">
        <v>46027</v>
      </c>
      <c r="G17" s="147">
        <v>10000</v>
      </c>
      <c r="H17" s="152" t="s">
        <v>47</v>
      </c>
      <c r="I17" s="152"/>
      <c r="J17" s="157"/>
      <c r="K17" s="157"/>
      <c r="L17" s="157">
        <v>2</v>
      </c>
      <c r="M17" s="205" t="s">
        <v>946</v>
      </c>
      <c r="N17" s="157"/>
      <c r="O17" s="157"/>
    </row>
    <row r="18" spans="1:26" s="165" customFormat="1" ht="17.25" x14ac:dyDescent="0.3">
      <c r="A18" s="249" t="s">
        <v>940</v>
      </c>
      <c r="B18" s="152">
        <v>9042264206</v>
      </c>
      <c r="C18" s="152" t="s">
        <v>351</v>
      </c>
      <c r="D18" s="152">
        <v>7000</v>
      </c>
      <c r="E18" s="152">
        <v>4250</v>
      </c>
      <c r="F18" s="152" t="s">
        <v>1373</v>
      </c>
      <c r="G18" s="147">
        <v>11250</v>
      </c>
      <c r="H18" s="152" t="s">
        <v>47</v>
      </c>
      <c r="I18" s="152"/>
      <c r="J18" s="157"/>
      <c r="K18" s="157" t="s">
        <v>882</v>
      </c>
      <c r="L18" s="157">
        <v>1</v>
      </c>
      <c r="M18" s="205">
        <v>4250</v>
      </c>
      <c r="N18" s="157"/>
      <c r="O18" s="157"/>
    </row>
    <row r="19" spans="1:26" s="51" customFormat="1" ht="18.75" x14ac:dyDescent="0.3">
      <c r="A19" s="249" t="s">
        <v>993</v>
      </c>
      <c r="B19" s="152">
        <v>8870042240</v>
      </c>
      <c r="C19" s="152" t="s">
        <v>399</v>
      </c>
      <c r="D19" s="152"/>
      <c r="E19" s="152">
        <v>3500</v>
      </c>
      <c r="F19" s="152" t="s">
        <v>1452</v>
      </c>
      <c r="G19" s="147">
        <v>7000</v>
      </c>
      <c r="H19" s="152" t="s">
        <v>47</v>
      </c>
      <c r="I19" s="152"/>
      <c r="J19" s="74"/>
      <c r="K19" s="74"/>
      <c r="L19" s="205">
        <v>1</v>
      </c>
      <c r="M19" s="205">
        <v>3500</v>
      </c>
      <c r="N19" s="205"/>
      <c r="O19" s="205"/>
    </row>
    <row r="20" spans="1:26" s="51" customFormat="1" ht="17.25" x14ac:dyDescent="0.3">
      <c r="A20" s="249" t="s">
        <v>979</v>
      </c>
      <c r="B20" s="152">
        <v>9032291673</v>
      </c>
      <c r="C20" s="152" t="s">
        <v>389</v>
      </c>
      <c r="D20" s="152"/>
      <c r="E20" s="152">
        <v>1600</v>
      </c>
      <c r="F20" s="152" t="s">
        <v>1442</v>
      </c>
      <c r="G20" s="147">
        <v>1600</v>
      </c>
      <c r="H20" s="152" t="s">
        <v>47</v>
      </c>
      <c r="I20" s="152"/>
      <c r="J20" s="228"/>
      <c r="K20" s="228"/>
      <c r="L20" s="228">
        <v>1</v>
      </c>
      <c r="M20" s="205">
        <v>1600</v>
      </c>
      <c r="N20" s="205"/>
      <c r="O20" s="205"/>
    </row>
    <row r="21" spans="1:26" s="51" customFormat="1" ht="17.25" x14ac:dyDescent="0.3">
      <c r="A21" s="249" t="s">
        <v>991</v>
      </c>
      <c r="B21" s="152">
        <v>7904409817</v>
      </c>
      <c r="C21" s="152" t="s">
        <v>474</v>
      </c>
      <c r="D21" s="152">
        <v>4500</v>
      </c>
      <c r="E21" s="152">
        <v>4500</v>
      </c>
      <c r="F21" s="221">
        <v>46208</v>
      </c>
      <c r="G21" s="152">
        <v>4500</v>
      </c>
      <c r="H21" s="152" t="s">
        <v>798</v>
      </c>
      <c r="I21" s="152"/>
      <c r="J21" s="228"/>
      <c r="K21" s="228" t="s">
        <v>883</v>
      </c>
      <c r="L21" s="228">
        <v>1</v>
      </c>
      <c r="M21" s="205">
        <v>4500</v>
      </c>
      <c r="N21" s="205"/>
      <c r="O21" s="205"/>
    </row>
    <row r="22" spans="1:26" s="51" customFormat="1" ht="17.25" x14ac:dyDescent="0.3">
      <c r="A22" s="249" t="s">
        <v>600</v>
      </c>
      <c r="B22" s="152">
        <v>9962718253</v>
      </c>
      <c r="C22" s="221">
        <v>45668</v>
      </c>
      <c r="D22" s="152">
        <v>2600</v>
      </c>
      <c r="E22" s="152">
        <v>1800</v>
      </c>
      <c r="F22" s="152" t="s">
        <v>1413</v>
      </c>
      <c r="G22" s="147">
        <v>2000</v>
      </c>
      <c r="H22" s="147" t="s">
        <v>880</v>
      </c>
      <c r="I22" s="147"/>
      <c r="J22" s="157"/>
      <c r="K22" s="157"/>
      <c r="L22" s="157">
        <v>1</v>
      </c>
      <c r="M22" s="205">
        <v>1800</v>
      </c>
      <c r="N22" s="157"/>
      <c r="O22" s="157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spans="1:26" s="165" customFormat="1" ht="17.25" x14ac:dyDescent="0.3">
      <c r="A23" s="249" t="s">
        <v>473</v>
      </c>
      <c r="B23" s="152">
        <v>9566059846</v>
      </c>
      <c r="C23" s="152" t="s">
        <v>474</v>
      </c>
      <c r="D23" s="152"/>
      <c r="E23" s="152">
        <v>1700</v>
      </c>
      <c r="F23" s="152"/>
      <c r="G23" s="152"/>
      <c r="H23" s="152"/>
      <c r="I23" s="154" t="s">
        <v>822</v>
      </c>
      <c r="J23" s="229"/>
      <c r="K23" s="157"/>
      <c r="L23" s="157">
        <v>1</v>
      </c>
      <c r="M23" s="205">
        <v>1700</v>
      </c>
      <c r="N23" s="157"/>
      <c r="O23" s="157"/>
    </row>
    <row r="24" spans="1:26" s="165" customFormat="1" ht="17.25" x14ac:dyDescent="0.3">
      <c r="A24" s="249" t="s">
        <v>911</v>
      </c>
      <c r="B24" s="152">
        <v>9080869326</v>
      </c>
      <c r="C24" s="152" t="s">
        <v>479</v>
      </c>
      <c r="D24" s="152">
        <v>1650</v>
      </c>
      <c r="E24" s="152">
        <v>1650</v>
      </c>
      <c r="F24" s="152" t="s">
        <v>1374</v>
      </c>
      <c r="G24" s="152">
        <v>1650</v>
      </c>
      <c r="H24" s="152" t="s">
        <v>47</v>
      </c>
      <c r="I24" s="152"/>
      <c r="J24" s="157"/>
      <c r="K24" s="157"/>
      <c r="L24" s="157">
        <v>1</v>
      </c>
      <c r="M24" s="205">
        <v>1750</v>
      </c>
      <c r="N24" s="157"/>
      <c r="O24" s="157"/>
    </row>
    <row r="25" spans="1:26" s="165" customFormat="1" ht="17.25" x14ac:dyDescent="0.3">
      <c r="A25" s="249" t="s">
        <v>504</v>
      </c>
      <c r="B25" s="152">
        <v>9841477377</v>
      </c>
      <c r="C25" s="152" t="s">
        <v>493</v>
      </c>
      <c r="D25" s="221"/>
      <c r="E25" s="152">
        <v>1900</v>
      </c>
      <c r="F25" s="221">
        <v>46086</v>
      </c>
      <c r="G25" s="152">
        <v>1900</v>
      </c>
      <c r="H25" s="152" t="s">
        <v>798</v>
      </c>
      <c r="I25" s="152"/>
      <c r="J25" s="157"/>
      <c r="K25" s="157"/>
      <c r="L25" s="157">
        <v>1</v>
      </c>
      <c r="M25" s="205">
        <v>2000</v>
      </c>
      <c r="N25" s="157"/>
      <c r="O25" s="157"/>
    </row>
    <row r="26" spans="1:26" s="165" customFormat="1" ht="17.25" x14ac:dyDescent="0.3">
      <c r="A26" s="249" t="s">
        <v>1484</v>
      </c>
      <c r="B26" s="152">
        <v>9791101009</v>
      </c>
      <c r="C26" s="152" t="s">
        <v>522</v>
      </c>
      <c r="D26" s="152"/>
      <c r="E26" s="152">
        <v>1700</v>
      </c>
      <c r="F26" s="152" t="s">
        <v>1469</v>
      </c>
      <c r="G26" s="152">
        <v>1700</v>
      </c>
      <c r="H26" s="152" t="s">
        <v>798</v>
      </c>
      <c r="I26" s="152"/>
      <c r="J26" s="157"/>
      <c r="K26" s="157"/>
      <c r="L26" s="157">
        <v>1</v>
      </c>
      <c r="M26" s="205">
        <v>1700</v>
      </c>
      <c r="N26" s="157"/>
      <c r="O26" s="157"/>
    </row>
    <row r="27" spans="1:26" s="165" customFormat="1" ht="18.75" x14ac:dyDescent="0.3">
      <c r="A27" s="249" t="s">
        <v>1365</v>
      </c>
      <c r="B27" s="152">
        <v>9003517441</v>
      </c>
      <c r="C27" s="152" t="s">
        <v>525</v>
      </c>
      <c r="D27" s="152">
        <v>4500</v>
      </c>
      <c r="E27" s="152">
        <v>3500</v>
      </c>
      <c r="F27" s="152"/>
      <c r="G27" s="152"/>
      <c r="H27" s="152"/>
      <c r="I27" s="152"/>
      <c r="J27" s="74"/>
      <c r="K27" s="74" t="s">
        <v>884</v>
      </c>
      <c r="L27" s="205">
        <v>1</v>
      </c>
      <c r="M27" s="205">
        <v>3500</v>
      </c>
      <c r="N27" s="205"/>
      <c r="O27" s="205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s="51" customFormat="1" ht="18.75" x14ac:dyDescent="0.3">
      <c r="A28" s="249" t="s">
        <v>543</v>
      </c>
      <c r="B28" s="152">
        <v>9884690348</v>
      </c>
      <c r="C28" s="152" t="s">
        <v>521</v>
      </c>
      <c r="D28" s="152"/>
      <c r="E28" s="152">
        <v>650</v>
      </c>
      <c r="F28" s="152"/>
      <c r="G28" s="152"/>
      <c r="H28" s="152"/>
      <c r="I28" s="152"/>
      <c r="J28" s="74"/>
      <c r="K28" s="74" t="s">
        <v>885</v>
      </c>
      <c r="L28" s="205">
        <v>2</v>
      </c>
      <c r="M28" s="205" t="s">
        <v>886</v>
      </c>
      <c r="N28" s="205"/>
      <c r="O28" s="205"/>
    </row>
    <row r="29" spans="1:26" s="51" customFormat="1" ht="18.75" x14ac:dyDescent="0.3">
      <c r="A29" s="249" t="s">
        <v>638</v>
      </c>
      <c r="B29" s="152">
        <v>7397264637</v>
      </c>
      <c r="C29" s="152" t="s">
        <v>637</v>
      </c>
      <c r="D29" s="152"/>
      <c r="E29" s="152">
        <v>1700</v>
      </c>
      <c r="F29" s="152" t="s">
        <v>1469</v>
      </c>
      <c r="G29" s="152">
        <v>1400</v>
      </c>
      <c r="H29" s="152" t="s">
        <v>798</v>
      </c>
      <c r="I29" s="152"/>
      <c r="J29" s="74"/>
      <c r="K29" s="74"/>
      <c r="L29" s="205">
        <v>1</v>
      </c>
      <c r="M29" s="205"/>
      <c r="N29" s="205"/>
      <c r="O29" s="205"/>
    </row>
    <row r="30" spans="1:26" s="51" customFormat="1" ht="18.75" x14ac:dyDescent="0.3">
      <c r="A30" s="249" t="s">
        <v>1531</v>
      </c>
      <c r="B30" s="152">
        <v>7200151287</v>
      </c>
      <c r="C30" s="152" t="s">
        <v>1428</v>
      </c>
      <c r="D30" s="152"/>
      <c r="E30" s="152">
        <v>2250</v>
      </c>
      <c r="F30" s="152"/>
      <c r="G30" s="152"/>
      <c r="H30" s="152"/>
      <c r="I30" s="152"/>
      <c r="J30" s="74"/>
      <c r="K30" s="74"/>
      <c r="L30" s="205"/>
      <c r="M30" s="205"/>
      <c r="N30" s="205"/>
      <c r="O30" s="205"/>
    </row>
    <row r="31" spans="1:26" s="290" customFormat="1" ht="18.75" x14ac:dyDescent="0.3">
      <c r="A31" s="301" t="s">
        <v>1366</v>
      </c>
      <c r="B31" s="175">
        <v>984004024</v>
      </c>
      <c r="C31" s="175" t="s">
        <v>1076</v>
      </c>
      <c r="D31" s="175">
        <v>2250</v>
      </c>
      <c r="E31" s="175">
        <v>12250</v>
      </c>
      <c r="F31" s="175" t="s">
        <v>1532</v>
      </c>
      <c r="G31" s="175">
        <v>14500</v>
      </c>
      <c r="H31" s="175" t="s">
        <v>47</v>
      </c>
      <c r="I31" s="175"/>
      <c r="J31" s="8"/>
      <c r="K31" s="8"/>
      <c r="L31" s="198">
        <v>3</v>
      </c>
      <c r="M31" s="198" t="s">
        <v>888</v>
      </c>
      <c r="N31" s="198"/>
      <c r="O31" s="198"/>
    </row>
    <row r="32" spans="1:26" s="285" customFormat="1" ht="18.75" x14ac:dyDescent="0.3">
      <c r="A32" s="298" t="s">
        <v>699</v>
      </c>
      <c r="B32" s="201">
        <v>9940377630</v>
      </c>
      <c r="C32" s="201" t="s">
        <v>697</v>
      </c>
      <c r="D32" s="201"/>
      <c r="E32" s="201">
        <v>1500</v>
      </c>
      <c r="F32" s="246">
        <v>46147</v>
      </c>
      <c r="G32" s="201"/>
      <c r="H32" s="201"/>
      <c r="I32" s="201" t="s">
        <v>1304</v>
      </c>
      <c r="J32" s="284"/>
      <c r="K32" s="284"/>
      <c r="L32" s="203">
        <v>1</v>
      </c>
      <c r="M32" s="203"/>
      <c r="N32" s="203"/>
      <c r="O32" s="203"/>
    </row>
    <row r="33" spans="1:26" s="290" customFormat="1" ht="18.75" x14ac:dyDescent="0.3">
      <c r="A33" s="301" t="s">
        <v>1447</v>
      </c>
      <c r="B33" s="175">
        <v>9003920837</v>
      </c>
      <c r="C33" s="175" t="s">
        <v>712</v>
      </c>
      <c r="D33" s="175"/>
      <c r="E33" s="175">
        <v>1800</v>
      </c>
      <c r="F33" s="197">
        <v>46331</v>
      </c>
      <c r="G33" s="175">
        <v>1800</v>
      </c>
      <c r="H33" s="175" t="s">
        <v>47</v>
      </c>
      <c r="I33" s="175"/>
      <c r="J33" s="8"/>
      <c r="K33" s="8"/>
      <c r="L33" s="198">
        <v>1</v>
      </c>
      <c r="M33" s="198"/>
      <c r="N33" s="198"/>
      <c r="O33" s="198"/>
    </row>
    <row r="34" spans="1:26" s="285" customFormat="1" ht="18.75" x14ac:dyDescent="0.3">
      <c r="A34" s="298" t="s">
        <v>722</v>
      </c>
      <c r="B34" s="201">
        <v>8056556619</v>
      </c>
      <c r="C34" s="201" t="s">
        <v>723</v>
      </c>
      <c r="D34" s="201"/>
      <c r="E34" s="201">
        <v>1600</v>
      </c>
      <c r="F34" s="246">
        <v>46147</v>
      </c>
      <c r="G34" s="201" t="s">
        <v>1468</v>
      </c>
      <c r="H34" s="201" t="s">
        <v>47</v>
      </c>
      <c r="I34" s="201" t="s">
        <v>1304</v>
      </c>
      <c r="J34" s="284"/>
      <c r="K34" s="284"/>
      <c r="L34" s="203">
        <v>1</v>
      </c>
      <c r="M34" s="203"/>
      <c r="N34" s="203"/>
      <c r="O34" s="203"/>
    </row>
    <row r="35" spans="1:26" s="290" customFormat="1" ht="18.75" x14ac:dyDescent="0.3">
      <c r="A35" s="301" t="s">
        <v>726</v>
      </c>
      <c r="B35" s="175">
        <v>7305272310</v>
      </c>
      <c r="C35" s="152" t="s">
        <v>727</v>
      </c>
      <c r="D35" s="175">
        <v>6000</v>
      </c>
      <c r="E35" s="175">
        <v>6000</v>
      </c>
      <c r="F35" s="175" t="s">
        <v>1452</v>
      </c>
      <c r="G35" s="175">
        <v>10000</v>
      </c>
      <c r="H35" s="175" t="s">
        <v>798</v>
      </c>
      <c r="I35" s="175"/>
      <c r="J35" s="8"/>
      <c r="K35" s="8"/>
      <c r="L35" s="198">
        <v>1</v>
      </c>
      <c r="M35" s="198"/>
      <c r="N35" s="198"/>
      <c r="O35" s="198"/>
    </row>
    <row r="36" spans="1:26" s="51" customFormat="1" ht="18.75" x14ac:dyDescent="0.3">
      <c r="A36" s="249" t="s">
        <v>735</v>
      </c>
      <c r="B36" s="152"/>
      <c r="C36" s="152" t="s">
        <v>734</v>
      </c>
      <c r="D36" s="152"/>
      <c r="E36" s="152">
        <v>1800</v>
      </c>
      <c r="F36" s="152" t="s">
        <v>1446</v>
      </c>
      <c r="G36" s="152">
        <v>1800</v>
      </c>
      <c r="H36" s="152" t="s">
        <v>47</v>
      </c>
      <c r="I36" s="152"/>
      <c r="J36" s="74"/>
      <c r="K36" s="74"/>
      <c r="L36" s="205">
        <v>1</v>
      </c>
      <c r="M36" s="205"/>
      <c r="N36" s="205"/>
      <c r="O36" s="205"/>
    </row>
    <row r="37" spans="1:26" s="51" customFormat="1" ht="18.75" x14ac:dyDescent="0.3">
      <c r="A37" s="249" t="s">
        <v>904</v>
      </c>
      <c r="B37" s="152">
        <v>8838432039</v>
      </c>
      <c r="C37" s="152" t="s">
        <v>737</v>
      </c>
      <c r="D37" s="152"/>
      <c r="E37" s="152">
        <v>1600</v>
      </c>
      <c r="F37" s="152" t="s">
        <v>1530</v>
      </c>
      <c r="G37" s="152">
        <v>1600</v>
      </c>
      <c r="H37" s="152" t="s">
        <v>47</v>
      </c>
      <c r="I37" s="152"/>
      <c r="J37" s="74"/>
      <c r="K37" s="74"/>
      <c r="L37" s="205">
        <v>1</v>
      </c>
      <c r="M37" s="205"/>
      <c r="N37" s="205"/>
      <c r="O37" s="205"/>
    </row>
    <row r="38" spans="1:26" s="51" customFormat="1" ht="18.75" x14ac:dyDescent="0.3">
      <c r="A38" s="249" t="s">
        <v>738</v>
      </c>
      <c r="B38" s="152">
        <v>9629322643</v>
      </c>
      <c r="C38" s="152" t="s">
        <v>737</v>
      </c>
      <c r="D38" s="152"/>
      <c r="E38" s="152">
        <v>2000</v>
      </c>
      <c r="F38" s="152" t="s">
        <v>1469</v>
      </c>
      <c r="G38" s="152">
        <v>2000</v>
      </c>
      <c r="H38" s="152" t="s">
        <v>798</v>
      </c>
      <c r="I38" s="152"/>
      <c r="J38" s="74"/>
      <c r="K38" s="74"/>
      <c r="L38" s="205">
        <v>1</v>
      </c>
      <c r="M38" s="205"/>
      <c r="N38" s="205"/>
      <c r="O38" s="205"/>
    </row>
    <row r="39" spans="1:26" s="285" customFormat="1" ht="17.25" x14ac:dyDescent="0.3">
      <c r="A39" s="298" t="s">
        <v>845</v>
      </c>
      <c r="B39" s="201">
        <v>9095407562</v>
      </c>
      <c r="C39" s="201" t="s">
        <v>751</v>
      </c>
      <c r="D39" s="201"/>
      <c r="E39" s="201">
        <v>2000</v>
      </c>
      <c r="F39" s="246">
        <v>46147</v>
      </c>
      <c r="G39" s="201">
        <v>1000</v>
      </c>
      <c r="H39" s="201" t="s">
        <v>47</v>
      </c>
      <c r="I39" s="201"/>
      <c r="J39" s="202"/>
      <c r="K39" s="202"/>
      <c r="L39" s="202">
        <v>1</v>
      </c>
      <c r="M39" s="203"/>
      <c r="N39" s="202"/>
      <c r="O39" s="202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 spans="1:26" s="165" customFormat="1" ht="17.25" x14ac:dyDescent="0.3">
      <c r="A40" s="249" t="s">
        <v>764</v>
      </c>
      <c r="B40" s="152">
        <v>9677015136</v>
      </c>
      <c r="C40" s="152" t="s">
        <v>753</v>
      </c>
      <c r="D40" s="152"/>
      <c r="E40" s="152">
        <v>20700</v>
      </c>
      <c r="F40" s="221">
        <v>46361</v>
      </c>
      <c r="G40" s="152">
        <v>20700</v>
      </c>
      <c r="H40" s="152" t="s">
        <v>47</v>
      </c>
      <c r="I40" s="152"/>
      <c r="J40" s="157"/>
      <c r="K40" s="157"/>
      <c r="L40" s="157">
        <v>17</v>
      </c>
      <c r="M40" s="205" t="s">
        <v>889</v>
      </c>
      <c r="N40" s="157"/>
      <c r="O40" s="157"/>
    </row>
    <row r="41" spans="1:26" s="204" customFormat="1" ht="18.75" x14ac:dyDescent="0.3">
      <c r="A41" s="298" t="s">
        <v>768</v>
      </c>
      <c r="B41" s="201"/>
      <c r="C41" s="201" t="s">
        <v>769</v>
      </c>
      <c r="D41" s="246"/>
      <c r="E41" s="201">
        <v>2000</v>
      </c>
      <c r="F41" s="246">
        <v>46117</v>
      </c>
      <c r="G41" s="201">
        <v>2000</v>
      </c>
      <c r="H41" s="201" t="s">
        <v>47</v>
      </c>
      <c r="I41" s="201" t="s">
        <v>811</v>
      </c>
      <c r="J41" s="284"/>
      <c r="K41" s="284"/>
      <c r="L41" s="203">
        <v>1</v>
      </c>
      <c r="M41" s="203"/>
      <c r="N41" s="203"/>
      <c r="O41" s="203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 spans="1:26" s="51" customFormat="1" ht="18.75" x14ac:dyDescent="0.3">
      <c r="A42" s="249" t="s">
        <v>986</v>
      </c>
      <c r="B42" s="152">
        <v>9489210061</v>
      </c>
      <c r="C42" s="152" t="s">
        <v>613</v>
      </c>
      <c r="D42" s="152"/>
      <c r="E42" s="152">
        <v>3500</v>
      </c>
      <c r="F42" s="152" t="s">
        <v>1469</v>
      </c>
      <c r="G42" s="152">
        <v>3500</v>
      </c>
      <c r="H42" s="152" t="s">
        <v>47</v>
      </c>
      <c r="I42" s="152"/>
      <c r="J42" s="74"/>
      <c r="K42" s="74"/>
      <c r="L42" s="205">
        <v>1</v>
      </c>
      <c r="M42" s="205"/>
      <c r="N42" s="205"/>
      <c r="O42" s="205"/>
    </row>
    <row r="43" spans="1:26" s="51" customFormat="1" ht="18.75" x14ac:dyDescent="0.3">
      <c r="A43" s="249" t="s">
        <v>787</v>
      </c>
      <c r="B43" s="152">
        <v>9500112451</v>
      </c>
      <c r="C43" s="152" t="s">
        <v>788</v>
      </c>
      <c r="D43" s="152"/>
      <c r="E43" s="152">
        <v>2100</v>
      </c>
      <c r="F43" s="221">
        <v>46208</v>
      </c>
      <c r="G43" s="152">
        <v>2000</v>
      </c>
      <c r="H43" s="152" t="s">
        <v>798</v>
      </c>
      <c r="I43" s="152"/>
      <c r="J43" s="74"/>
      <c r="K43" s="74"/>
      <c r="L43" s="205">
        <v>1</v>
      </c>
      <c r="M43" s="205"/>
      <c r="N43" s="205"/>
      <c r="O43" s="205"/>
    </row>
    <row r="44" spans="1:26" s="290" customFormat="1" ht="17.25" x14ac:dyDescent="0.3">
      <c r="A44" s="301" t="s">
        <v>1367</v>
      </c>
      <c r="B44" s="175">
        <v>9840982094</v>
      </c>
      <c r="C44" s="175" t="s">
        <v>790</v>
      </c>
      <c r="D44" s="175">
        <v>2300</v>
      </c>
      <c r="E44" s="175">
        <v>21050</v>
      </c>
      <c r="F44" s="175" t="s">
        <v>1376</v>
      </c>
      <c r="G44" s="175">
        <v>23350</v>
      </c>
      <c r="H44" s="175" t="s">
        <v>798</v>
      </c>
      <c r="I44" s="175"/>
      <c r="J44" s="149"/>
      <c r="K44" s="149"/>
      <c r="L44" s="149">
        <v>11</v>
      </c>
      <c r="M44" s="198" t="s">
        <v>1369</v>
      </c>
      <c r="N44" s="149"/>
      <c r="O44" s="14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 s="204" customFormat="1" ht="18.75" x14ac:dyDescent="0.3">
      <c r="A45" s="298" t="s">
        <v>1039</v>
      </c>
      <c r="B45" s="201">
        <v>9952971431</v>
      </c>
      <c r="C45" s="201" t="s">
        <v>793</v>
      </c>
      <c r="D45" s="201"/>
      <c r="E45" s="201">
        <v>2500</v>
      </c>
      <c r="F45" s="246">
        <v>46239</v>
      </c>
      <c r="G45" s="201"/>
      <c r="H45" s="201" t="s">
        <v>811</v>
      </c>
      <c r="I45" s="201"/>
      <c r="J45" s="284"/>
      <c r="K45" s="284"/>
      <c r="L45" s="203">
        <v>1</v>
      </c>
      <c r="M45" s="203"/>
      <c r="N45" s="203"/>
      <c r="O45" s="203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 spans="1:26" s="290" customFormat="1" ht="17.25" x14ac:dyDescent="0.3">
      <c r="A46" s="301" t="s">
        <v>897</v>
      </c>
      <c r="B46" s="175">
        <v>9710459818</v>
      </c>
      <c r="C46" s="221">
        <v>46084</v>
      </c>
      <c r="D46" s="175"/>
      <c r="E46" s="175">
        <v>2000</v>
      </c>
      <c r="F46" s="197">
        <v>46239</v>
      </c>
      <c r="G46" s="175">
        <v>2000</v>
      </c>
      <c r="H46" s="175" t="s">
        <v>798</v>
      </c>
      <c r="I46" s="175"/>
      <c r="J46" s="149">
        <v>295</v>
      </c>
      <c r="K46" s="149">
        <v>594</v>
      </c>
      <c r="L46" s="149">
        <v>1</v>
      </c>
      <c r="M46" s="198"/>
      <c r="N46" s="149" t="s">
        <v>898</v>
      </c>
      <c r="O46" s="14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 s="165" customFormat="1" ht="17.25" x14ac:dyDescent="0.3">
      <c r="A47" s="249" t="s">
        <v>924</v>
      </c>
      <c r="B47" s="152">
        <v>9840578283</v>
      </c>
      <c r="C47" s="221">
        <v>46237</v>
      </c>
      <c r="D47" s="152">
        <v>2500</v>
      </c>
      <c r="E47" s="152">
        <v>2500</v>
      </c>
      <c r="F47" s="221">
        <v>46208</v>
      </c>
      <c r="G47" s="152">
        <v>2000</v>
      </c>
      <c r="H47" s="152" t="s">
        <v>798</v>
      </c>
      <c r="I47" s="152"/>
      <c r="J47" s="157">
        <v>302</v>
      </c>
      <c r="K47" s="157">
        <v>627</v>
      </c>
      <c r="L47" s="157">
        <v>1</v>
      </c>
      <c r="M47" s="205"/>
      <c r="N47" s="157" t="s">
        <v>950</v>
      </c>
      <c r="O47" s="157"/>
    </row>
    <row r="48" spans="1:26" s="165" customFormat="1" ht="17.25" x14ac:dyDescent="0.3">
      <c r="A48" s="249" t="s">
        <v>1029</v>
      </c>
      <c r="B48" s="152">
        <v>9840300430</v>
      </c>
      <c r="C48" s="152" t="s">
        <v>953</v>
      </c>
      <c r="D48" s="152"/>
      <c r="E48" s="152">
        <v>2500</v>
      </c>
      <c r="F48" s="152" t="s">
        <v>1413</v>
      </c>
      <c r="G48" s="152">
        <v>2500</v>
      </c>
      <c r="H48" s="234" t="s">
        <v>798</v>
      </c>
      <c r="I48" s="152"/>
      <c r="J48" s="157"/>
      <c r="K48" s="157"/>
      <c r="L48" s="157"/>
      <c r="M48" s="205"/>
      <c r="N48" s="157"/>
      <c r="O48" s="157"/>
    </row>
    <row r="49" spans="1:26" s="165" customFormat="1" ht="17.25" x14ac:dyDescent="0.3">
      <c r="A49" s="249" t="s">
        <v>983</v>
      </c>
      <c r="B49" s="152"/>
      <c r="C49" s="152" t="s">
        <v>964</v>
      </c>
      <c r="D49" s="152"/>
      <c r="E49" s="152">
        <v>5000</v>
      </c>
      <c r="F49" s="152"/>
      <c r="G49" s="152"/>
      <c r="H49" s="152"/>
      <c r="I49" s="152"/>
      <c r="J49" s="157"/>
      <c r="K49" s="157">
        <v>615</v>
      </c>
      <c r="L49" s="157">
        <v>1</v>
      </c>
      <c r="M49" s="157"/>
      <c r="N49" s="152" t="s">
        <v>930</v>
      </c>
      <c r="O49" s="157"/>
    </row>
    <row r="50" spans="1:26" s="165" customFormat="1" ht="17.25" x14ac:dyDescent="0.3">
      <c r="A50" s="249" t="s">
        <v>1458</v>
      </c>
      <c r="B50" s="152"/>
      <c r="C50" s="152" t="s">
        <v>1007</v>
      </c>
      <c r="D50" s="152"/>
      <c r="E50" s="152">
        <v>10000</v>
      </c>
      <c r="F50" s="152"/>
      <c r="G50" s="152"/>
      <c r="H50" s="152"/>
      <c r="I50" s="152"/>
      <c r="J50" s="157"/>
      <c r="K50" s="157"/>
      <c r="L50" s="157"/>
      <c r="M50" s="157"/>
      <c r="N50" s="157"/>
      <c r="O50" s="157"/>
    </row>
    <row r="51" spans="1:26" s="165" customFormat="1" ht="17.25" x14ac:dyDescent="0.3">
      <c r="A51" s="301" t="s">
        <v>1032</v>
      </c>
      <c r="B51" s="152"/>
      <c r="C51" s="152" t="s">
        <v>1007</v>
      </c>
      <c r="D51" s="152"/>
      <c r="E51" s="152">
        <v>2500</v>
      </c>
      <c r="F51" s="152" t="s">
        <v>1469</v>
      </c>
      <c r="G51" s="152">
        <v>2500</v>
      </c>
      <c r="H51" s="152" t="s">
        <v>47</v>
      </c>
      <c r="I51" s="152"/>
      <c r="J51" s="157"/>
      <c r="K51" s="157"/>
      <c r="L51" s="157">
        <v>1</v>
      </c>
      <c r="M51" s="157"/>
      <c r="N51" s="157"/>
      <c r="O51" s="157"/>
    </row>
    <row r="52" spans="1:26" s="165" customFormat="1" ht="17.25" x14ac:dyDescent="0.3">
      <c r="A52" s="249" t="s">
        <v>1014</v>
      </c>
      <c r="B52" s="152"/>
      <c r="C52" s="152" t="s">
        <v>1002</v>
      </c>
      <c r="D52" s="152"/>
      <c r="E52" s="152">
        <v>1500</v>
      </c>
      <c r="F52" s="221">
        <v>46147</v>
      </c>
      <c r="G52" s="152">
        <v>3000</v>
      </c>
      <c r="H52" s="152" t="s">
        <v>47</v>
      </c>
      <c r="I52" s="152"/>
      <c r="J52" s="157"/>
      <c r="K52" s="157"/>
      <c r="L52" s="157">
        <v>1</v>
      </c>
      <c r="M52" s="157"/>
      <c r="N52" s="157"/>
      <c r="O52" s="157"/>
    </row>
    <row r="53" spans="1:26" s="199" customFormat="1" ht="17.25" x14ac:dyDescent="0.3">
      <c r="A53" s="301" t="s">
        <v>1030</v>
      </c>
      <c r="B53" s="175"/>
      <c r="C53" s="197">
        <v>45663</v>
      </c>
      <c r="D53" s="175"/>
      <c r="E53" s="175">
        <v>9600</v>
      </c>
      <c r="F53" s="175"/>
      <c r="G53" s="175"/>
      <c r="H53" s="175"/>
      <c r="I53" s="175"/>
      <c r="J53" s="149"/>
      <c r="K53" s="149"/>
      <c r="L53" s="149">
        <v>6</v>
      </c>
      <c r="M53" s="149" t="s">
        <v>1026</v>
      </c>
      <c r="N53" s="149" t="s">
        <v>1027</v>
      </c>
      <c r="O53" s="149"/>
    </row>
    <row r="54" spans="1:26" s="204" customFormat="1" ht="17.25" x14ac:dyDescent="0.3">
      <c r="A54" s="298" t="s">
        <v>1031</v>
      </c>
      <c r="B54" s="201"/>
      <c r="C54" s="246">
        <v>46057</v>
      </c>
      <c r="D54" s="201"/>
      <c r="E54" s="201">
        <v>3000</v>
      </c>
      <c r="F54" s="201"/>
      <c r="G54" s="201"/>
      <c r="H54" s="201"/>
      <c r="I54" s="201" t="s">
        <v>811</v>
      </c>
      <c r="J54" s="202"/>
      <c r="K54" s="202"/>
      <c r="L54" s="202">
        <v>1</v>
      </c>
      <c r="M54" s="202"/>
      <c r="N54" s="202" t="s">
        <v>1028</v>
      </c>
      <c r="O54" s="202"/>
    </row>
    <row r="55" spans="1:26" s="204" customFormat="1" ht="17.25" x14ac:dyDescent="0.3">
      <c r="A55" s="305" t="s">
        <v>1324</v>
      </c>
      <c r="B55" s="213"/>
      <c r="C55" s="300">
        <v>46207</v>
      </c>
      <c r="D55" s="213"/>
      <c r="E55" s="213">
        <v>5000</v>
      </c>
      <c r="F55" s="300">
        <v>46208</v>
      </c>
      <c r="G55" s="213"/>
      <c r="H55" s="213"/>
      <c r="I55" s="213"/>
      <c r="J55" s="214"/>
      <c r="K55" s="214"/>
      <c r="L55" s="214"/>
      <c r="M55" s="214"/>
      <c r="N55" s="214"/>
      <c r="O55" s="214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spans="1:26" s="297" customFormat="1" ht="17.25" x14ac:dyDescent="0.3">
      <c r="A56" s="306" t="s">
        <v>1063</v>
      </c>
      <c r="B56" s="294"/>
      <c r="C56" s="295">
        <v>46299</v>
      </c>
      <c r="D56" s="294">
        <v>5000</v>
      </c>
      <c r="E56" s="294">
        <v>1800</v>
      </c>
      <c r="F56" s="295" t="s">
        <v>1359</v>
      </c>
      <c r="G56" s="294">
        <v>1800</v>
      </c>
      <c r="H56" s="294" t="s">
        <v>47</v>
      </c>
      <c r="I56" s="294"/>
      <c r="J56" s="180"/>
      <c r="K56" s="180"/>
      <c r="L56" s="180"/>
      <c r="M56" s="180"/>
      <c r="N56" s="180"/>
      <c r="O56" s="296"/>
    </row>
    <row r="57" spans="1:26" s="297" customFormat="1" ht="17.25" x14ac:dyDescent="0.3">
      <c r="A57" s="306" t="s">
        <v>1144</v>
      </c>
      <c r="B57" s="294"/>
      <c r="C57" s="295">
        <v>46330</v>
      </c>
      <c r="D57" s="294"/>
      <c r="E57" s="294">
        <v>2000</v>
      </c>
      <c r="F57" s="295" t="s">
        <v>1429</v>
      </c>
      <c r="G57" s="294">
        <v>2000</v>
      </c>
      <c r="H57" s="294" t="s">
        <v>798</v>
      </c>
      <c r="I57" s="294"/>
      <c r="J57" s="180"/>
      <c r="K57" s="180"/>
      <c r="L57" s="180"/>
      <c r="M57" s="180"/>
      <c r="N57" s="180"/>
      <c r="O57" s="296"/>
    </row>
    <row r="58" spans="1:26" s="297" customFormat="1" ht="17.25" x14ac:dyDescent="0.3">
      <c r="A58" s="306" t="s">
        <v>1375</v>
      </c>
      <c r="B58" s="294"/>
      <c r="C58" s="295" t="s">
        <v>1082</v>
      </c>
      <c r="D58" s="294"/>
      <c r="E58" s="294">
        <v>1800</v>
      </c>
      <c r="F58" s="295" t="s">
        <v>1429</v>
      </c>
      <c r="G58" s="294">
        <v>1800</v>
      </c>
      <c r="H58" s="294" t="s">
        <v>439</v>
      </c>
      <c r="I58" s="294"/>
      <c r="J58" s="214"/>
      <c r="K58" s="214"/>
      <c r="L58" s="214"/>
      <c r="M58" s="214"/>
      <c r="N58" s="214"/>
      <c r="O58" s="293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spans="1:26" s="297" customFormat="1" ht="17.25" x14ac:dyDescent="0.3">
      <c r="A59" s="301" t="s">
        <v>1459</v>
      </c>
      <c r="B59" s="175"/>
      <c r="C59" s="197" t="s">
        <v>1094</v>
      </c>
      <c r="D59" s="175">
        <v>7316</v>
      </c>
      <c r="E59" s="175">
        <v>4500</v>
      </c>
      <c r="F59" s="197" t="s">
        <v>1413</v>
      </c>
      <c r="G59" s="175">
        <v>4500</v>
      </c>
      <c r="H59" s="175" t="s">
        <v>880</v>
      </c>
      <c r="I59" s="175"/>
      <c r="J59" s="149"/>
      <c r="K59" s="149"/>
      <c r="L59" s="149"/>
      <c r="M59" s="198"/>
      <c r="N59" s="149"/>
      <c r="O59" s="302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spans="1:26" s="204" customFormat="1" ht="17.25" x14ac:dyDescent="0.3">
      <c r="A60" s="298" t="s">
        <v>1074</v>
      </c>
      <c r="B60" s="201"/>
      <c r="C60" s="246" t="s">
        <v>1067</v>
      </c>
      <c r="D60" s="201"/>
      <c r="E60" s="201">
        <v>1800</v>
      </c>
      <c r="F60" s="246">
        <v>46331</v>
      </c>
      <c r="G60" s="201">
        <v>1800</v>
      </c>
      <c r="H60" s="201" t="s">
        <v>47</v>
      </c>
      <c r="I60" s="201" t="s">
        <v>811</v>
      </c>
      <c r="J60" s="202"/>
      <c r="K60" s="202"/>
      <c r="L60" s="202"/>
      <c r="M60" s="203"/>
      <c r="N60" s="202"/>
      <c r="O60" s="299"/>
    </row>
    <row r="61" spans="1:26" s="165" customFormat="1" ht="17.25" x14ac:dyDescent="0.3">
      <c r="A61" s="249" t="s">
        <v>1077</v>
      </c>
      <c r="B61" s="249">
        <v>8110929028</v>
      </c>
      <c r="C61" s="269">
        <v>46176</v>
      </c>
      <c r="D61" s="249"/>
      <c r="E61" s="152">
        <v>6000</v>
      </c>
      <c r="F61" s="269" t="s">
        <v>1374</v>
      </c>
      <c r="G61" s="249">
        <v>6000</v>
      </c>
      <c r="H61" s="152" t="s">
        <v>47</v>
      </c>
      <c r="I61" s="249"/>
      <c r="J61" s="249"/>
      <c r="K61" s="249"/>
      <c r="L61" s="249"/>
      <c r="M61" s="270"/>
      <c r="N61" s="249"/>
      <c r="O61" s="292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spans="1:26" s="271" customFormat="1" ht="17.25" x14ac:dyDescent="0.3">
      <c r="A62" s="249" t="s">
        <v>1093</v>
      </c>
      <c r="B62" s="152"/>
      <c r="C62" s="221" t="s">
        <v>1094</v>
      </c>
      <c r="D62" s="152"/>
      <c r="E62" s="152">
        <v>2500</v>
      </c>
      <c r="F62" s="221" t="s">
        <v>1377</v>
      </c>
      <c r="G62" s="152">
        <v>2500</v>
      </c>
      <c r="H62" s="152" t="s">
        <v>47</v>
      </c>
      <c r="I62" s="152"/>
      <c r="J62" s="157"/>
      <c r="K62" s="157"/>
      <c r="L62" s="157"/>
      <c r="M62" s="205"/>
      <c r="N62" s="157"/>
      <c r="O62" s="291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spans="1:26" s="165" customFormat="1" ht="17.25" x14ac:dyDescent="0.3">
      <c r="A63" s="249" t="s">
        <v>1096</v>
      </c>
      <c r="B63" s="152"/>
      <c r="C63" s="221" t="s">
        <v>1094</v>
      </c>
      <c r="D63" s="152"/>
      <c r="E63" s="152">
        <v>2500</v>
      </c>
      <c r="F63" s="221" t="s">
        <v>1429</v>
      </c>
      <c r="G63" s="152">
        <v>2500</v>
      </c>
      <c r="H63" s="152" t="s">
        <v>47</v>
      </c>
      <c r="I63" s="152"/>
      <c r="J63" s="157"/>
      <c r="K63" s="157"/>
      <c r="L63" s="157"/>
      <c r="M63" s="205"/>
      <c r="N63" s="157"/>
      <c r="O63" s="291"/>
    </row>
    <row r="64" spans="1:26" s="165" customFormat="1" ht="17.25" x14ac:dyDescent="0.3">
      <c r="A64" s="249" t="s">
        <v>1152</v>
      </c>
      <c r="B64" s="152"/>
      <c r="C64" s="221" t="s">
        <v>1110</v>
      </c>
      <c r="D64" s="152"/>
      <c r="E64" s="152">
        <v>4250</v>
      </c>
      <c r="F64" s="221" t="s">
        <v>1372</v>
      </c>
      <c r="G64" s="152">
        <v>4000</v>
      </c>
      <c r="H64" s="152" t="s">
        <v>47</v>
      </c>
      <c r="I64" s="152"/>
      <c r="J64" s="157"/>
      <c r="K64" s="157"/>
      <c r="L64" s="157">
        <v>2</v>
      </c>
      <c r="M64" s="205" t="s">
        <v>1371</v>
      </c>
      <c r="N64" s="157"/>
      <c r="O64" s="291"/>
    </row>
    <row r="65" spans="1:14" s="165" customFormat="1" ht="17.25" x14ac:dyDescent="0.3">
      <c r="A65" s="249" t="s">
        <v>1460</v>
      </c>
      <c r="B65" s="152"/>
      <c r="C65" s="221">
        <v>46057</v>
      </c>
      <c r="D65" s="152"/>
      <c r="E65" s="152">
        <v>4000</v>
      </c>
      <c r="F65" s="221" t="s">
        <v>1373</v>
      </c>
      <c r="G65" s="152">
        <v>4000</v>
      </c>
      <c r="H65" s="152" t="s">
        <v>798</v>
      </c>
      <c r="I65" s="152"/>
      <c r="J65" s="157"/>
      <c r="K65" s="157"/>
      <c r="L65" s="157"/>
      <c r="M65" s="205"/>
      <c r="N65" s="157"/>
    </row>
    <row r="66" spans="1:14" s="165" customFormat="1" ht="17.25" x14ac:dyDescent="0.3">
      <c r="A66" s="249" t="s">
        <v>1461</v>
      </c>
      <c r="B66" s="152">
        <v>9790812585</v>
      </c>
      <c r="C66" s="221" t="s">
        <v>1154</v>
      </c>
      <c r="D66" s="152">
        <v>5000</v>
      </c>
      <c r="E66" s="152">
        <v>4500</v>
      </c>
      <c r="F66" s="221" t="s">
        <v>1532</v>
      </c>
      <c r="G66" s="152">
        <v>4500</v>
      </c>
      <c r="H66" s="152" t="s">
        <v>47</v>
      </c>
      <c r="I66" s="152"/>
      <c r="J66" s="157"/>
      <c r="K66" s="157"/>
      <c r="L66" s="157"/>
      <c r="M66" s="205"/>
      <c r="N66" s="157"/>
    </row>
    <row r="67" spans="1:14" s="165" customFormat="1" x14ac:dyDescent="0.4">
      <c r="A67" s="249" t="s">
        <v>1414</v>
      </c>
      <c r="B67" s="152">
        <v>9940023308</v>
      </c>
      <c r="C67" s="221">
        <v>46086</v>
      </c>
      <c r="D67" s="152"/>
      <c r="E67" s="152">
        <v>2000</v>
      </c>
      <c r="F67" s="221">
        <v>46086</v>
      </c>
      <c r="G67" s="152">
        <v>2300</v>
      </c>
      <c r="H67" s="152" t="s">
        <v>880</v>
      </c>
      <c r="I67" s="152"/>
      <c r="J67" s="157"/>
      <c r="K67" s="157"/>
      <c r="L67" s="157"/>
      <c r="M67" s="205"/>
      <c r="N67" s="157"/>
    </row>
    <row r="68" spans="1:14" s="165" customFormat="1" x14ac:dyDescent="0.4">
      <c r="A68" s="249" t="s">
        <v>1415</v>
      </c>
      <c r="B68" s="152">
        <v>9884829051</v>
      </c>
      <c r="C68" s="221">
        <v>46117</v>
      </c>
      <c r="D68" s="152">
        <v>2000</v>
      </c>
      <c r="E68" s="152">
        <v>2000</v>
      </c>
      <c r="F68" s="221">
        <v>46117</v>
      </c>
      <c r="G68" s="152">
        <v>4000</v>
      </c>
      <c r="H68" s="152" t="s">
        <v>47</v>
      </c>
      <c r="I68" s="152"/>
      <c r="J68" s="157"/>
      <c r="K68" s="157"/>
      <c r="L68" s="157"/>
      <c r="M68" s="205"/>
      <c r="N68" s="157"/>
    </row>
    <row r="69" spans="1:14" s="165" customFormat="1" x14ac:dyDescent="0.4">
      <c r="A69" s="249" t="s">
        <v>1418</v>
      </c>
      <c r="B69" s="152"/>
      <c r="C69" s="221">
        <v>46147</v>
      </c>
      <c r="D69" s="152"/>
      <c r="E69" s="152">
        <v>2000</v>
      </c>
      <c r="F69" s="221">
        <v>46147</v>
      </c>
      <c r="G69" s="152">
        <v>2000</v>
      </c>
      <c r="H69" s="152" t="s">
        <v>47</v>
      </c>
      <c r="I69" s="152"/>
      <c r="J69" s="157"/>
      <c r="K69" s="157"/>
      <c r="L69" s="157"/>
      <c r="M69" s="205"/>
      <c r="N69" s="157"/>
    </row>
    <row r="70" spans="1:14" s="165" customFormat="1" x14ac:dyDescent="0.4">
      <c r="A70" s="249" t="s">
        <v>1419</v>
      </c>
      <c r="B70" s="152"/>
      <c r="C70" s="221">
        <v>46331</v>
      </c>
      <c r="D70" s="152"/>
      <c r="E70" s="152">
        <v>1600</v>
      </c>
      <c r="F70" s="221">
        <v>46331</v>
      </c>
      <c r="G70" s="152">
        <v>1600</v>
      </c>
      <c r="H70" s="152" t="s">
        <v>47</v>
      </c>
      <c r="I70" s="152"/>
      <c r="J70" s="157"/>
      <c r="K70" s="157"/>
      <c r="L70" s="157"/>
      <c r="M70" s="205"/>
      <c r="N70" s="157"/>
    </row>
    <row r="71" spans="1:14" s="165" customFormat="1" x14ac:dyDescent="0.4">
      <c r="A71" s="249" t="s">
        <v>1462</v>
      </c>
      <c r="B71" s="152"/>
      <c r="C71" s="221">
        <v>46270</v>
      </c>
      <c r="D71" s="152"/>
      <c r="E71" s="152">
        <v>11000</v>
      </c>
      <c r="F71" s="221">
        <v>46300</v>
      </c>
      <c r="G71" s="152">
        <v>11000</v>
      </c>
      <c r="H71" s="152" t="s">
        <v>1482</v>
      </c>
      <c r="I71" s="152"/>
      <c r="J71" s="157"/>
      <c r="K71" s="157"/>
      <c r="L71" s="157"/>
      <c r="M71" s="205"/>
      <c r="N71" s="157"/>
    </row>
    <row r="72" spans="1:14" s="165" customFormat="1" x14ac:dyDescent="0.4">
      <c r="A72" s="249" t="s">
        <v>1420</v>
      </c>
      <c r="B72" s="152">
        <v>7708123675</v>
      </c>
      <c r="C72" s="221">
        <v>46300</v>
      </c>
      <c r="D72" s="152"/>
      <c r="E72" s="152">
        <v>2500</v>
      </c>
      <c r="F72" s="221">
        <v>46300</v>
      </c>
      <c r="G72" s="152">
        <v>2500</v>
      </c>
      <c r="H72" s="152" t="s">
        <v>47</v>
      </c>
      <c r="I72" s="152"/>
      <c r="J72" s="157"/>
      <c r="K72" s="157"/>
      <c r="L72" s="157"/>
      <c r="M72" s="205"/>
      <c r="N72" s="157"/>
    </row>
    <row r="73" spans="1:14" s="165" customFormat="1" x14ac:dyDescent="0.4">
      <c r="A73" s="249" t="s">
        <v>1463</v>
      </c>
      <c r="B73" s="152"/>
      <c r="C73" s="221" t="s">
        <v>1423</v>
      </c>
      <c r="D73" s="152"/>
      <c r="E73" s="152">
        <v>20250</v>
      </c>
      <c r="F73" s="221" t="s">
        <v>1373</v>
      </c>
      <c r="G73" s="152">
        <v>20550</v>
      </c>
      <c r="H73" s="152" t="s">
        <v>47</v>
      </c>
      <c r="I73" s="152"/>
      <c r="J73" s="157"/>
      <c r="K73" s="157"/>
      <c r="L73" s="157"/>
      <c r="M73" s="205"/>
      <c r="N73" s="157"/>
    </row>
    <row r="74" spans="1:14" s="165" customFormat="1" x14ac:dyDescent="0.4">
      <c r="A74" s="249" t="s">
        <v>1464</v>
      </c>
      <c r="B74" s="152"/>
      <c r="C74" s="221" t="s">
        <v>1425</v>
      </c>
      <c r="D74" s="152"/>
      <c r="E74" s="152">
        <v>2500</v>
      </c>
      <c r="F74" s="221" t="s">
        <v>1377</v>
      </c>
      <c r="G74" s="152">
        <v>2000</v>
      </c>
      <c r="H74" s="152" t="s">
        <v>47</v>
      </c>
      <c r="I74" s="152"/>
      <c r="J74" s="157"/>
      <c r="K74" s="157"/>
      <c r="L74" s="157"/>
      <c r="M74" s="205"/>
      <c r="N74" s="157"/>
    </row>
    <row r="75" spans="1:14" s="165" customFormat="1" x14ac:dyDescent="0.4">
      <c r="A75" s="249" t="s">
        <v>1426</v>
      </c>
      <c r="B75" s="152"/>
      <c r="C75" s="221" t="s">
        <v>1424</v>
      </c>
      <c r="D75" s="152"/>
      <c r="E75" s="152">
        <v>2000</v>
      </c>
      <c r="F75" s="221" t="s">
        <v>1413</v>
      </c>
      <c r="G75" s="152">
        <v>2000</v>
      </c>
      <c r="H75" s="152" t="s">
        <v>47</v>
      </c>
      <c r="I75" s="152"/>
      <c r="J75" s="157"/>
      <c r="K75" s="157"/>
      <c r="L75" s="157"/>
      <c r="M75" s="205"/>
      <c r="N75" s="157"/>
    </row>
    <row r="76" spans="1:14" s="165" customFormat="1" x14ac:dyDescent="0.4">
      <c r="A76" s="249" t="s">
        <v>1427</v>
      </c>
      <c r="B76" s="152"/>
      <c r="C76" s="221" t="s">
        <v>1424</v>
      </c>
      <c r="D76" s="152"/>
      <c r="E76" s="152">
        <v>5500</v>
      </c>
      <c r="F76" s="221" t="s">
        <v>1413</v>
      </c>
      <c r="G76" s="152">
        <v>5500</v>
      </c>
      <c r="H76" s="152" t="s">
        <v>47</v>
      </c>
      <c r="I76" s="231"/>
      <c r="J76" s="230"/>
      <c r="K76" s="230"/>
      <c r="L76" s="230"/>
      <c r="M76" s="232"/>
    </row>
    <row r="77" spans="1:14" s="165" customFormat="1" x14ac:dyDescent="0.4">
      <c r="A77" s="249" t="s">
        <v>1448</v>
      </c>
      <c r="B77" s="152"/>
      <c r="C77" s="197"/>
      <c r="D77" s="152">
        <v>8938</v>
      </c>
      <c r="E77" s="152"/>
      <c r="F77" s="221" t="s">
        <v>1446</v>
      </c>
      <c r="G77" s="152">
        <v>5000</v>
      </c>
      <c r="H77" s="152" t="s">
        <v>1456</v>
      </c>
      <c r="I77" s="231"/>
      <c r="J77" s="230"/>
      <c r="K77" s="230"/>
      <c r="L77" s="230"/>
      <c r="M77" s="232"/>
    </row>
    <row r="78" spans="1:14" s="165" customFormat="1" x14ac:dyDescent="0.4">
      <c r="A78" s="249" t="s">
        <v>1473</v>
      </c>
      <c r="B78" s="152"/>
      <c r="C78" s="197" t="s">
        <v>1465</v>
      </c>
      <c r="D78" s="152"/>
      <c r="E78" s="152">
        <v>1850</v>
      </c>
      <c r="F78" s="221" t="s">
        <v>1465</v>
      </c>
      <c r="G78" s="152">
        <v>1850</v>
      </c>
      <c r="H78" s="152" t="s">
        <v>47</v>
      </c>
      <c r="I78" s="231"/>
      <c r="J78" s="230"/>
      <c r="K78" s="230"/>
      <c r="L78" s="230"/>
      <c r="M78" s="232"/>
    </row>
    <row r="79" spans="1:14" s="165" customFormat="1" x14ac:dyDescent="0.4">
      <c r="A79" s="249" t="s">
        <v>1480</v>
      </c>
      <c r="B79" s="152"/>
      <c r="C79" s="197" t="s">
        <v>1465</v>
      </c>
      <c r="D79" s="152"/>
      <c r="E79" s="152">
        <v>2000</v>
      </c>
      <c r="F79" s="221" t="s">
        <v>1465</v>
      </c>
      <c r="G79" s="152">
        <v>2300</v>
      </c>
      <c r="H79" s="152" t="s">
        <v>1483</v>
      </c>
      <c r="I79" s="231"/>
      <c r="J79" s="230"/>
      <c r="K79" s="230"/>
      <c r="L79" s="230"/>
      <c r="M79" s="232"/>
    </row>
    <row r="80" spans="1:14" s="165" customFormat="1" x14ac:dyDescent="0.4">
      <c r="A80" s="312" t="s">
        <v>1481</v>
      </c>
      <c r="B80" s="175"/>
      <c r="C80" s="197" t="s">
        <v>1465</v>
      </c>
      <c r="D80" s="152"/>
      <c r="E80" s="152">
        <v>1700</v>
      </c>
      <c r="F80" s="221" t="s">
        <v>1465</v>
      </c>
      <c r="G80" s="152">
        <v>1700</v>
      </c>
      <c r="H80" s="152" t="s">
        <v>439</v>
      </c>
      <c r="I80" s="231"/>
      <c r="J80" s="230"/>
      <c r="K80" s="230"/>
      <c r="L80" s="230"/>
      <c r="M80" s="232"/>
    </row>
    <row r="81" spans="1:26" s="165" customFormat="1" x14ac:dyDescent="0.4">
      <c r="A81" s="307"/>
      <c r="B81" s="175"/>
      <c r="C81" s="197"/>
      <c r="D81" s="152"/>
      <c r="E81" s="152"/>
      <c r="F81" s="221"/>
      <c r="G81" s="152"/>
      <c r="H81" s="152"/>
      <c r="I81" s="231"/>
      <c r="J81" s="230"/>
      <c r="K81" s="230"/>
      <c r="L81" s="230"/>
      <c r="M81" s="232"/>
    </row>
    <row r="82" spans="1:26" s="165" customFormat="1" x14ac:dyDescent="0.4">
      <c r="A82" s="308" t="s">
        <v>66</v>
      </c>
      <c r="B82" s="152"/>
      <c r="C82" s="152"/>
      <c r="D82" s="152"/>
      <c r="E82" s="152"/>
      <c r="F82" s="152"/>
      <c r="G82" s="152"/>
      <c r="H82" s="152"/>
      <c r="I82" s="152"/>
      <c r="J82" s="157"/>
      <c r="K82" s="157"/>
      <c r="L82" s="157"/>
      <c r="M82" s="205"/>
    </row>
    <row r="83" spans="1:26" s="165" customFormat="1" x14ac:dyDescent="0.4">
      <c r="A83" s="308" t="s">
        <v>828</v>
      </c>
      <c r="B83" s="235" t="s">
        <v>829</v>
      </c>
      <c r="C83" s="235" t="s">
        <v>830</v>
      </c>
      <c r="D83" s="235" t="s">
        <v>831</v>
      </c>
      <c r="E83" s="235" t="s">
        <v>817</v>
      </c>
      <c r="F83" s="235" t="s">
        <v>819</v>
      </c>
      <c r="G83" s="233" t="s">
        <v>833</v>
      </c>
      <c r="H83" s="235" t="s">
        <v>876</v>
      </c>
      <c r="I83" s="233"/>
      <c r="J83" s="233" t="s">
        <v>872</v>
      </c>
      <c r="K83" s="233" t="s">
        <v>877</v>
      </c>
      <c r="L83" s="233" t="s">
        <v>878</v>
      </c>
      <c r="M83" s="205"/>
      <c r="N83" s="235" t="s">
        <v>69</v>
      </c>
      <c r="O83" s="235" t="s">
        <v>834</v>
      </c>
    </row>
    <row r="84" spans="1:26" s="165" customFormat="1" x14ac:dyDescent="0.4">
      <c r="A84" s="309" t="s">
        <v>187</v>
      </c>
      <c r="B84" s="276"/>
      <c r="C84" s="277" t="s">
        <v>860</v>
      </c>
      <c r="D84" s="276"/>
      <c r="E84" s="276">
        <v>25600</v>
      </c>
      <c r="F84" s="278"/>
      <c r="G84" s="278"/>
      <c r="H84" s="276"/>
      <c r="I84" s="276"/>
      <c r="J84" s="276"/>
      <c r="K84" s="278"/>
      <c r="L84" s="278">
        <v>28</v>
      </c>
      <c r="M84" s="279"/>
      <c r="N84" s="276">
        <f t="shared" ref="N84:N107" si="0">E84*18%</f>
        <v>4608</v>
      </c>
      <c r="O84" s="276">
        <f t="shared" ref="O84:O107" si="1">E84+N84</f>
        <v>30208</v>
      </c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spans="1:26" s="280" customFormat="1" x14ac:dyDescent="0.4">
      <c r="A85" s="310" t="s">
        <v>289</v>
      </c>
      <c r="B85" s="155"/>
      <c r="C85" s="155" t="s">
        <v>450</v>
      </c>
      <c r="D85" s="155"/>
      <c r="E85" s="155">
        <v>35765</v>
      </c>
      <c r="F85" s="174"/>
      <c r="G85" s="174"/>
      <c r="H85" s="155"/>
      <c r="I85" s="155"/>
      <c r="J85" s="155"/>
      <c r="K85" s="174"/>
      <c r="L85" s="174"/>
      <c r="M85" s="142"/>
      <c r="N85" s="155">
        <f t="shared" si="0"/>
        <v>6437.7</v>
      </c>
      <c r="O85" s="155">
        <f t="shared" si="1"/>
        <v>42202.7</v>
      </c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spans="1:26" s="178" customFormat="1" x14ac:dyDescent="0.4">
      <c r="A86" s="309" t="s">
        <v>416</v>
      </c>
      <c r="B86" s="276"/>
      <c r="C86" s="277" t="s">
        <v>450</v>
      </c>
      <c r="D86" s="276"/>
      <c r="E86" s="276">
        <v>14500</v>
      </c>
      <c r="F86" s="278"/>
      <c r="G86" s="278"/>
      <c r="H86" s="276"/>
      <c r="I86" s="276"/>
      <c r="J86" s="276"/>
      <c r="K86" s="278"/>
      <c r="L86" s="278">
        <v>10</v>
      </c>
      <c r="M86" s="279"/>
      <c r="N86" s="276">
        <f t="shared" si="0"/>
        <v>2610</v>
      </c>
      <c r="O86" s="276">
        <f t="shared" si="1"/>
        <v>17110</v>
      </c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spans="1:26" s="280" customFormat="1" x14ac:dyDescent="0.4">
      <c r="A87" s="310" t="s">
        <v>409</v>
      </c>
      <c r="B87" s="155"/>
      <c r="C87" s="155" t="s">
        <v>450</v>
      </c>
      <c r="D87" s="155"/>
      <c r="E87" s="155">
        <v>41469</v>
      </c>
      <c r="F87" s="155"/>
      <c r="G87" s="155"/>
      <c r="H87" s="155"/>
      <c r="I87" s="155"/>
      <c r="J87" s="155"/>
      <c r="K87" s="174"/>
      <c r="L87" s="174">
        <v>17</v>
      </c>
      <c r="M87" s="142"/>
      <c r="N87" s="155">
        <f t="shared" si="0"/>
        <v>7464.42</v>
      </c>
      <c r="O87" s="155">
        <f t="shared" si="1"/>
        <v>48933.42</v>
      </c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spans="1:26" s="199" customFormat="1" x14ac:dyDescent="0.4">
      <c r="A88" s="309" t="s">
        <v>341</v>
      </c>
      <c r="B88" s="276"/>
      <c r="C88" s="277" t="s">
        <v>450</v>
      </c>
      <c r="D88" s="276"/>
      <c r="E88" s="276">
        <v>6000</v>
      </c>
      <c r="F88" s="283">
        <v>46147</v>
      </c>
      <c r="G88" s="278">
        <v>4719</v>
      </c>
      <c r="H88" s="276" t="s">
        <v>1065</v>
      </c>
      <c r="I88" s="276"/>
      <c r="J88" s="276"/>
      <c r="K88" s="278"/>
      <c r="L88" s="278">
        <v>3</v>
      </c>
      <c r="M88" s="279"/>
      <c r="N88" s="276">
        <f t="shared" si="0"/>
        <v>1080</v>
      </c>
      <c r="O88" s="276">
        <f t="shared" si="1"/>
        <v>7080</v>
      </c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spans="1:26" s="280" customFormat="1" x14ac:dyDescent="0.4">
      <c r="A89" s="310" t="s">
        <v>291</v>
      </c>
      <c r="B89" s="155"/>
      <c r="C89" s="177">
        <v>45661</v>
      </c>
      <c r="D89" s="155"/>
      <c r="E89" s="155">
        <v>2500</v>
      </c>
      <c r="F89" s="177"/>
      <c r="G89" s="155"/>
      <c r="H89" s="281" t="s">
        <v>1065</v>
      </c>
      <c r="I89" s="282"/>
      <c r="J89" s="281"/>
      <c r="K89" s="174"/>
      <c r="L89" s="174">
        <v>1</v>
      </c>
      <c r="M89" s="142"/>
      <c r="N89" s="155">
        <f>E89*18%</f>
        <v>450</v>
      </c>
      <c r="O89" s="155">
        <f>E89+N89</f>
        <v>2950</v>
      </c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spans="1:26" s="178" customFormat="1" x14ac:dyDescent="0.4">
      <c r="A90" s="310" t="s">
        <v>70</v>
      </c>
      <c r="B90" s="155"/>
      <c r="C90" s="155" t="s">
        <v>450</v>
      </c>
      <c r="D90" s="155"/>
      <c r="E90" s="155">
        <v>2800</v>
      </c>
      <c r="F90" s="155"/>
      <c r="G90" s="155"/>
      <c r="H90" s="155"/>
      <c r="I90" s="155"/>
      <c r="J90" s="155"/>
      <c r="K90" s="174"/>
      <c r="L90" s="174">
        <v>4</v>
      </c>
      <c r="M90" s="142"/>
      <c r="N90" s="155">
        <f t="shared" si="0"/>
        <v>504</v>
      </c>
      <c r="O90" s="155">
        <f t="shared" si="1"/>
        <v>3304</v>
      </c>
    </row>
    <row r="91" spans="1:26" s="178" customFormat="1" x14ac:dyDescent="0.4">
      <c r="A91" s="310" t="s">
        <v>1044</v>
      </c>
      <c r="B91" s="155">
        <v>8870214412</v>
      </c>
      <c r="C91" s="177">
        <v>46116</v>
      </c>
      <c r="D91" s="155"/>
      <c r="E91" s="155">
        <f>1700*3</f>
        <v>5100</v>
      </c>
      <c r="F91" s="276" t="s">
        <v>1452</v>
      </c>
      <c r="G91" s="276">
        <v>6020</v>
      </c>
      <c r="H91" s="276" t="s">
        <v>1065</v>
      </c>
      <c r="I91" s="276"/>
      <c r="J91" s="276"/>
      <c r="K91" s="278"/>
      <c r="L91" s="278">
        <v>1</v>
      </c>
      <c r="M91" s="279"/>
      <c r="N91" s="276">
        <f>E91*18%</f>
        <v>918</v>
      </c>
      <c r="O91" s="276">
        <f>E91+N91</f>
        <v>6018</v>
      </c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spans="1:26" s="280" customFormat="1" x14ac:dyDescent="0.4">
      <c r="A92" s="310" t="s">
        <v>902</v>
      </c>
      <c r="B92" s="155">
        <v>9790299900</v>
      </c>
      <c r="C92" s="177">
        <v>46145</v>
      </c>
      <c r="D92" s="155"/>
      <c r="E92" s="155">
        <v>5750</v>
      </c>
      <c r="F92" s="174"/>
      <c r="G92" s="155"/>
      <c r="H92" s="155" t="s">
        <v>1065</v>
      </c>
      <c r="I92" s="155">
        <v>17</v>
      </c>
      <c r="J92" s="155"/>
      <c r="K92" s="174"/>
      <c r="L92" s="174">
        <v>1</v>
      </c>
      <c r="M92" s="142"/>
      <c r="N92" s="155">
        <f t="shared" si="0"/>
        <v>1035</v>
      </c>
      <c r="O92" s="155">
        <f t="shared" si="1"/>
        <v>6785</v>
      </c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spans="1:26" s="178" customFormat="1" x14ac:dyDescent="0.4">
      <c r="A93" s="310" t="s">
        <v>791</v>
      </c>
      <c r="B93" s="155">
        <v>9952955111</v>
      </c>
      <c r="C93" s="155">
        <v>46025</v>
      </c>
      <c r="D93" s="155"/>
      <c r="E93" s="155">
        <v>2000</v>
      </c>
      <c r="F93" s="155"/>
      <c r="G93" s="155"/>
      <c r="H93" s="155" t="s">
        <v>1046</v>
      </c>
      <c r="I93" s="155"/>
      <c r="J93" s="155"/>
      <c r="K93" s="174"/>
      <c r="L93" s="174">
        <v>1</v>
      </c>
      <c r="M93" s="142"/>
      <c r="N93" s="155">
        <f t="shared" si="0"/>
        <v>360</v>
      </c>
      <c r="O93" s="155">
        <f t="shared" si="1"/>
        <v>2360</v>
      </c>
    </row>
    <row r="94" spans="1:26" s="178" customFormat="1" x14ac:dyDescent="0.4">
      <c r="A94" s="310" t="s">
        <v>459</v>
      </c>
      <c r="B94" s="155"/>
      <c r="C94" s="155" t="s">
        <v>893</v>
      </c>
      <c r="D94" s="155"/>
      <c r="E94" s="155">
        <v>4000</v>
      </c>
      <c r="F94" s="155"/>
      <c r="G94" s="155"/>
      <c r="H94" s="155"/>
      <c r="I94" s="155"/>
      <c r="J94" s="155"/>
      <c r="K94" s="174"/>
      <c r="L94" s="174">
        <v>2</v>
      </c>
      <c r="M94" s="142"/>
      <c r="N94" s="155">
        <f t="shared" si="0"/>
        <v>720</v>
      </c>
      <c r="O94" s="155">
        <f t="shared" si="1"/>
        <v>4720</v>
      </c>
    </row>
    <row r="95" spans="1:26" s="178" customFormat="1" x14ac:dyDescent="0.4">
      <c r="A95" s="310" t="s">
        <v>434</v>
      </c>
      <c r="B95" s="155"/>
      <c r="C95" s="155" t="s">
        <v>893</v>
      </c>
      <c r="D95" s="155" t="s">
        <v>1451</v>
      </c>
      <c r="E95" s="155">
        <v>14475</v>
      </c>
      <c r="F95" s="155"/>
      <c r="G95" s="155"/>
      <c r="H95" s="286"/>
      <c r="I95" s="155"/>
      <c r="J95" s="155"/>
      <c r="K95" s="174"/>
      <c r="L95" s="174">
        <v>8</v>
      </c>
      <c r="M95" s="142"/>
      <c r="N95" s="155">
        <f t="shared" si="0"/>
        <v>2605.5</v>
      </c>
      <c r="O95" s="155">
        <f t="shared" si="1"/>
        <v>17080.5</v>
      </c>
    </row>
    <row r="96" spans="1:26" s="178" customFormat="1" x14ac:dyDescent="0.4">
      <c r="A96" s="310" t="s">
        <v>701</v>
      </c>
      <c r="B96" s="155">
        <v>7794025725</v>
      </c>
      <c r="C96" s="155" t="s">
        <v>708</v>
      </c>
      <c r="D96" s="155"/>
      <c r="E96" s="155">
        <v>17300</v>
      </c>
      <c r="F96" s="155" t="s">
        <v>1485</v>
      </c>
      <c r="G96" s="155">
        <v>20355</v>
      </c>
      <c r="H96" s="286" t="s">
        <v>1065</v>
      </c>
      <c r="I96" s="155"/>
      <c r="J96" s="155"/>
      <c r="K96" s="174"/>
      <c r="L96" s="174">
        <v>10</v>
      </c>
      <c r="M96" s="142"/>
      <c r="N96" s="155">
        <f t="shared" si="0"/>
        <v>3114</v>
      </c>
      <c r="O96" s="155">
        <f t="shared" si="1"/>
        <v>20414</v>
      </c>
    </row>
    <row r="97" spans="1:26" s="178" customFormat="1" x14ac:dyDescent="0.4">
      <c r="A97" s="310" t="s">
        <v>709</v>
      </c>
      <c r="B97" s="155">
        <v>9043035545</v>
      </c>
      <c r="C97" s="155" t="s">
        <v>707</v>
      </c>
      <c r="D97" s="155"/>
      <c r="E97" s="155">
        <v>16000</v>
      </c>
      <c r="F97" s="155" t="s">
        <v>1413</v>
      </c>
      <c r="G97" s="155">
        <v>18900</v>
      </c>
      <c r="H97" s="155" t="s">
        <v>1388</v>
      </c>
      <c r="I97" s="155"/>
      <c r="J97" s="155"/>
      <c r="K97" s="174"/>
      <c r="L97" s="174">
        <v>1</v>
      </c>
      <c r="M97" s="142"/>
      <c r="N97" s="155">
        <f t="shared" si="0"/>
        <v>2880</v>
      </c>
      <c r="O97" s="155">
        <f t="shared" si="1"/>
        <v>18880</v>
      </c>
    </row>
    <row r="98" spans="1:26" s="178" customFormat="1" x14ac:dyDescent="0.4">
      <c r="A98" s="310" t="s">
        <v>604</v>
      </c>
      <c r="B98" s="155">
        <v>9442130825</v>
      </c>
      <c r="C98" s="155" t="s">
        <v>707</v>
      </c>
      <c r="D98" s="155"/>
      <c r="E98" s="155">
        <v>10000</v>
      </c>
      <c r="F98" s="155"/>
      <c r="G98" s="155"/>
      <c r="H98" s="155"/>
      <c r="I98" s="155"/>
      <c r="J98" s="155"/>
      <c r="K98" s="174"/>
      <c r="L98" s="174">
        <v>2</v>
      </c>
      <c r="M98" s="142"/>
      <c r="N98" s="155">
        <f t="shared" si="0"/>
        <v>1800</v>
      </c>
      <c r="O98" s="155">
        <f t="shared" si="1"/>
        <v>11800</v>
      </c>
    </row>
    <row r="99" spans="1:26" s="178" customFormat="1" ht="16.5" customHeight="1" x14ac:dyDescent="0.4">
      <c r="A99" s="310" t="s">
        <v>835</v>
      </c>
      <c r="B99" s="155"/>
      <c r="C99" s="155" t="s">
        <v>795</v>
      </c>
      <c r="D99" s="155"/>
      <c r="E99" s="155">
        <f>15*1600</f>
        <v>24000</v>
      </c>
      <c r="F99" s="177">
        <v>46361</v>
      </c>
      <c r="G99" s="155">
        <v>17936</v>
      </c>
      <c r="H99" s="155" t="s">
        <v>1065</v>
      </c>
      <c r="I99" s="155"/>
      <c r="J99" s="155"/>
      <c r="K99" s="174"/>
      <c r="L99" s="174">
        <v>8</v>
      </c>
      <c r="M99" s="142"/>
      <c r="N99" s="155">
        <f t="shared" si="0"/>
        <v>4320</v>
      </c>
      <c r="O99" s="155">
        <f t="shared" si="1"/>
        <v>28320</v>
      </c>
    </row>
    <row r="100" spans="1:26" s="178" customFormat="1" x14ac:dyDescent="0.4">
      <c r="A100" s="310" t="s">
        <v>405</v>
      </c>
      <c r="B100" s="155"/>
      <c r="C100" s="155" t="s">
        <v>852</v>
      </c>
      <c r="D100" s="155"/>
      <c r="E100" s="155">
        <v>1400</v>
      </c>
      <c r="F100" s="155"/>
      <c r="G100" s="155"/>
      <c r="H100" s="155" t="s">
        <v>1065</v>
      </c>
      <c r="I100" s="155"/>
      <c r="J100" s="155"/>
      <c r="K100" s="174"/>
      <c r="L100" s="174">
        <v>1</v>
      </c>
      <c r="M100" s="142"/>
      <c r="N100" s="155">
        <f t="shared" si="0"/>
        <v>252</v>
      </c>
      <c r="O100" s="155">
        <f t="shared" si="1"/>
        <v>1652</v>
      </c>
    </row>
    <row r="101" spans="1:26" s="178" customFormat="1" x14ac:dyDescent="0.4">
      <c r="A101" s="310" t="s">
        <v>405</v>
      </c>
      <c r="B101" s="155"/>
      <c r="C101" s="155" t="s">
        <v>972</v>
      </c>
      <c r="D101" s="155"/>
      <c r="E101" s="155">
        <v>1400</v>
      </c>
      <c r="F101" s="155"/>
      <c r="G101" s="155"/>
      <c r="H101" s="155"/>
      <c r="I101" s="155"/>
      <c r="J101" s="155"/>
      <c r="K101" s="174"/>
      <c r="L101" s="174">
        <v>2</v>
      </c>
      <c r="M101" s="142"/>
      <c r="N101" s="155"/>
      <c r="O101" s="155"/>
    </row>
    <row r="102" spans="1:26" s="199" customFormat="1" x14ac:dyDescent="0.4">
      <c r="A102" s="310" t="s">
        <v>836</v>
      </c>
      <c r="B102" s="155"/>
      <c r="C102" s="155" t="s">
        <v>1000</v>
      </c>
      <c r="D102" s="155"/>
      <c r="E102" s="155">
        <v>3000</v>
      </c>
      <c r="F102" s="155" t="s">
        <v>1413</v>
      </c>
      <c r="G102" s="155">
        <v>82586</v>
      </c>
      <c r="H102" s="155" t="s">
        <v>1065</v>
      </c>
      <c r="I102" s="155"/>
      <c r="J102" s="155"/>
      <c r="K102" s="174"/>
      <c r="L102" s="174">
        <v>1</v>
      </c>
      <c r="M102" s="142"/>
      <c r="N102" s="155"/>
      <c r="O102" s="155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spans="1:26" s="178" customFormat="1" x14ac:dyDescent="0.4">
      <c r="A103" s="310" t="s">
        <v>836</v>
      </c>
      <c r="B103" s="155"/>
      <c r="C103" s="155" t="s">
        <v>999</v>
      </c>
      <c r="D103" s="155"/>
      <c r="E103" s="155">
        <v>29400</v>
      </c>
      <c r="F103" s="155"/>
      <c r="G103" s="155"/>
      <c r="H103" s="155" t="s">
        <v>1065</v>
      </c>
      <c r="I103" s="155"/>
      <c r="J103" s="155"/>
      <c r="K103" s="174"/>
      <c r="L103" s="174">
        <v>17</v>
      </c>
      <c r="M103" s="142"/>
      <c r="N103" s="155"/>
      <c r="O103" s="155"/>
    </row>
    <row r="104" spans="1:26" s="178" customFormat="1" x14ac:dyDescent="0.4">
      <c r="A104" s="310" t="s">
        <v>836</v>
      </c>
      <c r="B104" s="155"/>
      <c r="C104" s="155" t="s">
        <v>852</v>
      </c>
      <c r="D104" s="155"/>
      <c r="E104" s="155">
        <v>36800</v>
      </c>
      <c r="F104" s="155"/>
      <c r="G104" s="155"/>
      <c r="H104" s="155" t="s">
        <v>1065</v>
      </c>
      <c r="I104" s="155"/>
      <c r="J104" s="155"/>
      <c r="K104" s="174"/>
      <c r="L104" s="174">
        <v>16</v>
      </c>
      <c r="M104" s="142"/>
      <c r="N104" s="155">
        <f t="shared" si="0"/>
        <v>6624</v>
      </c>
      <c r="O104" s="155">
        <f t="shared" si="1"/>
        <v>43424</v>
      </c>
    </row>
    <row r="105" spans="1:26" s="178" customFormat="1" x14ac:dyDescent="0.4">
      <c r="A105" s="310" t="s">
        <v>836</v>
      </c>
      <c r="B105" s="155"/>
      <c r="C105" s="155" t="s">
        <v>1245</v>
      </c>
      <c r="D105" s="155"/>
      <c r="E105" s="155">
        <v>2000</v>
      </c>
      <c r="F105" s="155"/>
      <c r="G105" s="155"/>
      <c r="H105" s="155"/>
      <c r="I105" s="155"/>
      <c r="J105" s="155"/>
      <c r="K105" s="174"/>
      <c r="L105" s="174"/>
      <c r="M105" s="142"/>
      <c r="N105" s="155"/>
      <c r="O105" s="155"/>
    </row>
    <row r="106" spans="1:26" s="178" customFormat="1" x14ac:dyDescent="0.4">
      <c r="A106" s="310" t="s">
        <v>454</v>
      </c>
      <c r="B106" s="155"/>
      <c r="C106" s="155" t="s">
        <v>847</v>
      </c>
      <c r="D106" s="155"/>
      <c r="E106" s="155">
        <v>2100</v>
      </c>
      <c r="F106" s="155"/>
      <c r="G106" s="155"/>
      <c r="H106" s="155" t="s">
        <v>1065</v>
      </c>
      <c r="I106" s="286" t="s">
        <v>1089</v>
      </c>
      <c r="J106" s="155"/>
      <c r="K106" s="174"/>
      <c r="L106" s="174">
        <v>1</v>
      </c>
      <c r="M106" s="142"/>
      <c r="N106" s="155">
        <f t="shared" si="0"/>
        <v>378</v>
      </c>
      <c r="O106" s="155">
        <f t="shared" si="1"/>
        <v>2478</v>
      </c>
    </row>
    <row r="107" spans="1:26" s="178" customFormat="1" x14ac:dyDescent="0.4">
      <c r="A107" s="310" t="s">
        <v>520</v>
      </c>
      <c r="B107" s="155"/>
      <c r="C107" s="155" t="s">
        <v>846</v>
      </c>
      <c r="D107" s="155"/>
      <c r="E107" s="155">
        <v>41746</v>
      </c>
      <c r="F107" s="155"/>
      <c r="G107" s="155"/>
      <c r="H107" s="155"/>
      <c r="I107" s="155"/>
      <c r="J107" s="155"/>
      <c r="K107" s="174"/>
      <c r="L107" s="174">
        <v>7</v>
      </c>
      <c r="M107" s="142"/>
      <c r="N107" s="155">
        <f t="shared" si="0"/>
        <v>7514.28</v>
      </c>
      <c r="O107" s="155">
        <f t="shared" si="1"/>
        <v>49260.28</v>
      </c>
    </row>
    <row r="108" spans="1:26" s="178" customFormat="1" x14ac:dyDescent="0.4">
      <c r="A108" s="310" t="s">
        <v>1045</v>
      </c>
      <c r="B108" s="155">
        <v>7010148704</v>
      </c>
      <c r="C108" s="155" t="s">
        <v>1449</v>
      </c>
      <c r="D108" s="155"/>
      <c r="E108" s="155">
        <f>2750*4</f>
        <v>11000</v>
      </c>
      <c r="F108" s="155"/>
      <c r="G108" s="155"/>
      <c r="H108" s="155"/>
      <c r="I108" s="155"/>
      <c r="J108" s="155"/>
      <c r="K108" s="174"/>
      <c r="L108" s="174"/>
      <c r="M108" s="142"/>
      <c r="N108" s="155"/>
      <c r="O108" s="155"/>
    </row>
    <row r="109" spans="1:26" s="178" customFormat="1" x14ac:dyDescent="0.4">
      <c r="A109" s="310" t="s">
        <v>1421</v>
      </c>
      <c r="B109" s="155"/>
      <c r="C109" s="155" t="s">
        <v>1422</v>
      </c>
      <c r="D109" s="155"/>
      <c r="E109" s="155">
        <v>29500</v>
      </c>
      <c r="F109" s="155" t="s">
        <v>1373</v>
      </c>
      <c r="G109" s="155">
        <v>13570</v>
      </c>
      <c r="H109" s="155" t="s">
        <v>1065</v>
      </c>
      <c r="I109" s="155"/>
      <c r="J109" s="155"/>
      <c r="K109" s="174"/>
      <c r="L109" s="174"/>
      <c r="M109" s="142"/>
      <c r="N109" s="155"/>
      <c r="O109" s="155"/>
    </row>
    <row r="110" spans="1:26" s="178" customFormat="1" x14ac:dyDescent="0.4">
      <c r="A110" s="310" t="s">
        <v>1450</v>
      </c>
      <c r="B110" s="155"/>
      <c r="C110" s="155"/>
      <c r="D110" s="155"/>
      <c r="E110" s="155">
        <v>29500</v>
      </c>
      <c r="F110" s="155"/>
      <c r="G110" s="155"/>
      <c r="H110" s="155"/>
      <c r="I110" s="155"/>
      <c r="J110" s="155"/>
      <c r="K110" s="174"/>
      <c r="L110" s="174"/>
      <c r="M110" s="142"/>
      <c r="N110" s="155"/>
      <c r="O110" s="155"/>
    </row>
    <row r="111" spans="1:26" s="199" customFormat="1" x14ac:dyDescent="0.4">
      <c r="A111" s="308" t="s">
        <v>828</v>
      </c>
      <c r="B111" s="235" t="s">
        <v>829</v>
      </c>
      <c r="C111" s="235" t="s">
        <v>830</v>
      </c>
      <c r="D111" s="235" t="s">
        <v>831</v>
      </c>
      <c r="E111" s="235" t="s">
        <v>817</v>
      </c>
      <c r="F111" s="235" t="s">
        <v>819</v>
      </c>
      <c r="G111" s="233" t="s">
        <v>833</v>
      </c>
      <c r="H111" s="235" t="s">
        <v>876</v>
      </c>
      <c r="I111" s="233"/>
      <c r="J111" s="233" t="s">
        <v>872</v>
      </c>
      <c r="K111" s="233" t="s">
        <v>877</v>
      </c>
      <c r="L111" s="233" t="s">
        <v>878</v>
      </c>
      <c r="M111" s="205"/>
      <c r="N111" s="235" t="s">
        <v>69</v>
      </c>
      <c r="O111" s="235" t="s">
        <v>834</v>
      </c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spans="1:26" s="165" customFormat="1" x14ac:dyDescent="0.4">
      <c r="A112" s="311"/>
      <c r="B112" s="172"/>
      <c r="C112" s="172"/>
      <c r="D112" s="172"/>
      <c r="E112" s="172"/>
      <c r="F112" s="172"/>
      <c r="G112" s="172"/>
      <c r="H112" s="172"/>
      <c r="I112" s="17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 spans="2:13" x14ac:dyDescent="0.4">
      <c r="B113" s="162"/>
      <c r="C113" s="162"/>
    </row>
    <row r="114" spans="2:13" x14ac:dyDescent="0.4">
      <c r="M114" s="162">
        <v>16</v>
      </c>
    </row>
  </sheetData>
  <autoFilter ref="A1:P80"/>
  <hyperlinks>
    <hyperlink ref="I106" r:id="rId1"/>
    <hyperlink ref="A66" r:id="rId2" location="/contacts/2447645000000324001" display="https://invoice.zoho.in/app/60039309088 - /contacts/2447645000000324001"/>
    <hyperlink ref="A69" r:id="rId3" location="/contacts/2447645000000556083" display="https://invoice.zoho.in/app/60039309088 - /contacts/2447645000000556083"/>
    <hyperlink ref="A70" r:id="rId4" location="/contacts/2447645000000561030" display="https://invoice.zoho.in/app/60039309088 - /contacts/2447645000000561030"/>
    <hyperlink ref="A71" r:id="rId5" location="/contacts/2447645000000498477" display="https://invoice.zoho.in/app/60039309088 - /contacts/2447645000000498477"/>
    <hyperlink ref="A72" r:id="rId6" location="/contacts/2447645000000565012" display="https://invoice.zoho.in/app/60039309088 - /contacts/2447645000000565012"/>
    <hyperlink ref="A109" r:id="rId7" location="/contacts/2447645000000560002" display="https://invoice.zoho.in/app/60039309088 - /contacts/2447645000000560002"/>
    <hyperlink ref="A73" r:id="rId8" location="/contacts/2447645000000570002" display="https://invoice.zoho.in/app/60039309088 - /contacts/2447645000000570002"/>
    <hyperlink ref="A74" r:id="rId9" location="/contacts/2447645000000573030" display="https://invoice.zoho.in/app/60039309088 - /contacts/2447645000000573030"/>
    <hyperlink ref="A75" r:id="rId10" location="/contacts/2447645000000574019" display="https://invoice.zoho.in/app/60039309088 - /contacts/2447645000000574019"/>
    <hyperlink ref="A76" r:id="rId11" location="/contacts/2447645000000574054" display="https://invoice.zoho.in/app/60039309088 - /contacts/2447645000000574054"/>
    <hyperlink ref="A110" r:id="rId12" location="/contacts/2447645000000556002" display="https://invoice.zoho.in/app/60039309088 - /contacts/2447645000000556002"/>
  </hyperlinks>
  <pageMargins left="0.7" right="0.7" top="0.75" bottom="0.75" header="0.3" footer="0.3"/>
  <pageSetup orientation="portrait" r:id="rId1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3"/>
  <sheetViews>
    <sheetView zoomScaleNormal="100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C46" sqref="C46"/>
    </sheetView>
  </sheetViews>
  <sheetFormatPr defaultColWidth="9.1796875" defaultRowHeight="17" x14ac:dyDescent="0.4"/>
  <cols>
    <col min="1" max="1" width="52.1796875" style="311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11.453125" style="172" bestFit="1" customWidth="1"/>
    <col min="6" max="6" width="9.1796875" style="162"/>
    <col min="7" max="7" width="14" style="172" customWidth="1"/>
    <col min="8" max="8" width="13.81640625" style="172" bestFit="1" customWidth="1"/>
    <col min="9" max="9" width="13.54296875" style="172" bestFit="1" customWidth="1"/>
    <col min="10" max="10" width="14.453125" style="162" customWidth="1"/>
    <col min="11" max="11" width="29.54296875" style="172" bestFit="1" customWidth="1"/>
    <col min="12" max="12" width="17.54296875" style="162" bestFit="1" customWidth="1"/>
    <col min="13" max="13" width="20.1796875" style="162" bestFit="1" customWidth="1"/>
    <col min="14" max="16384" width="9.1796875" style="162"/>
  </cols>
  <sheetData>
    <row r="1" spans="1:15" s="159" customFormat="1" ht="17.25" x14ac:dyDescent="0.3">
      <c r="A1" s="303" t="s">
        <v>188</v>
      </c>
      <c r="B1" s="144" t="s">
        <v>815</v>
      </c>
      <c r="C1" s="144" t="s">
        <v>816</v>
      </c>
      <c r="D1" s="144" t="s">
        <v>891</v>
      </c>
      <c r="E1" s="144" t="s">
        <v>817</v>
      </c>
      <c r="F1" s="143" t="s">
        <v>878</v>
      </c>
      <c r="G1" s="144" t="s">
        <v>1038</v>
      </c>
      <c r="H1" s="144" t="s">
        <v>1037</v>
      </c>
      <c r="I1" s="144" t="s">
        <v>1036</v>
      </c>
      <c r="J1" s="143" t="s">
        <v>872</v>
      </c>
      <c r="K1" s="144" t="s">
        <v>1040</v>
      </c>
      <c r="L1" s="143" t="s">
        <v>881</v>
      </c>
      <c r="M1" s="143" t="s">
        <v>879</v>
      </c>
      <c r="N1" s="158" t="s">
        <v>899</v>
      </c>
      <c r="O1" s="158"/>
    </row>
    <row r="2" spans="1:15" s="51" customFormat="1" ht="18.75" x14ac:dyDescent="0.3">
      <c r="A2" s="249" t="s">
        <v>0</v>
      </c>
      <c r="B2" s="152">
        <v>7299917887</v>
      </c>
      <c r="C2" s="152" t="s">
        <v>860</v>
      </c>
      <c r="D2" s="152">
        <f>18300+24300</f>
        <v>42600</v>
      </c>
      <c r="E2" s="152">
        <v>21300</v>
      </c>
      <c r="F2" s="205">
        <v>17</v>
      </c>
      <c r="G2" s="173">
        <f>18300+24300</f>
        <v>42600</v>
      </c>
      <c r="H2" s="221">
        <v>46059</v>
      </c>
      <c r="I2" s="152" t="s">
        <v>47</v>
      </c>
      <c r="J2" s="332">
        <v>191</v>
      </c>
      <c r="K2" s="152" t="s">
        <v>1561</v>
      </c>
      <c r="L2" s="74"/>
      <c r="M2" s="205" t="s">
        <v>1542</v>
      </c>
      <c r="N2" s="205"/>
      <c r="O2" s="205"/>
    </row>
    <row r="3" spans="1:15" s="220" customFormat="1" ht="17.25" x14ac:dyDescent="0.3">
      <c r="A3" s="304" t="s">
        <v>36</v>
      </c>
      <c r="B3" s="195">
        <v>7904401435</v>
      </c>
      <c r="C3" s="195"/>
      <c r="D3" s="195">
        <v>1750</v>
      </c>
      <c r="E3" s="195">
        <v>1750</v>
      </c>
      <c r="F3" s="218">
        <v>1</v>
      </c>
      <c r="G3" s="195">
        <v>1750</v>
      </c>
      <c r="H3" s="195" t="s">
        <v>1705</v>
      </c>
      <c r="I3" s="195" t="s">
        <v>47</v>
      </c>
      <c r="J3" s="218"/>
      <c r="K3" s="183"/>
      <c r="L3" s="218"/>
      <c r="M3" s="219">
        <v>1750</v>
      </c>
      <c r="N3" s="218"/>
      <c r="O3" s="218"/>
    </row>
    <row r="4" spans="1:15" s="220" customFormat="1" ht="17.25" x14ac:dyDescent="0.3">
      <c r="A4" s="304" t="s">
        <v>1642</v>
      </c>
      <c r="B4" s="195">
        <v>9840940298</v>
      </c>
      <c r="C4" s="222">
        <v>45780</v>
      </c>
      <c r="D4" s="222"/>
      <c r="E4" s="195">
        <v>3000</v>
      </c>
      <c r="F4" s="218">
        <v>1</v>
      </c>
      <c r="G4" s="195">
        <v>3000</v>
      </c>
      <c r="H4" s="222">
        <v>46240</v>
      </c>
      <c r="I4" s="195" t="s">
        <v>47</v>
      </c>
      <c r="J4" s="218"/>
      <c r="K4" s="183"/>
      <c r="L4" s="218"/>
      <c r="M4" s="219"/>
      <c r="N4" s="218"/>
      <c r="O4" s="218"/>
    </row>
    <row r="5" spans="1:15" s="165" customFormat="1" ht="17.25" x14ac:dyDescent="0.3">
      <c r="A5" s="249" t="s">
        <v>248</v>
      </c>
      <c r="B5" s="152">
        <v>7550283099</v>
      </c>
      <c r="C5" s="152" t="s">
        <v>44</v>
      </c>
      <c r="D5" s="152">
        <f>6800+6800</f>
        <v>13600</v>
      </c>
      <c r="E5" s="152">
        <v>6800</v>
      </c>
      <c r="F5" s="157">
        <v>4</v>
      </c>
      <c r="G5" s="147">
        <f>6800+6800</f>
        <v>13600</v>
      </c>
      <c r="H5" s="221" t="s">
        <v>1724</v>
      </c>
      <c r="I5" s="152" t="s">
        <v>42</v>
      </c>
      <c r="J5" s="157"/>
      <c r="K5" s="152"/>
      <c r="L5" s="157"/>
      <c r="M5" s="205" t="s">
        <v>944</v>
      </c>
      <c r="N5" s="157"/>
      <c r="O5" s="157"/>
    </row>
    <row r="6" spans="1:15" s="51" customFormat="1" ht="18.75" x14ac:dyDescent="0.3">
      <c r="A6" s="249" t="s">
        <v>1643</v>
      </c>
      <c r="B6" s="152">
        <v>7904622354</v>
      </c>
      <c r="C6" s="152" t="s">
        <v>46</v>
      </c>
      <c r="D6" s="152">
        <v>3000</v>
      </c>
      <c r="E6" s="152">
        <v>3000</v>
      </c>
      <c r="F6" s="205">
        <v>1</v>
      </c>
      <c r="G6" s="152">
        <v>6000</v>
      </c>
      <c r="H6" s="221">
        <v>46148</v>
      </c>
      <c r="I6" s="152" t="s">
        <v>47</v>
      </c>
      <c r="J6" s="74"/>
      <c r="K6" s="152"/>
      <c r="L6" s="74"/>
      <c r="M6" s="205">
        <v>3000</v>
      </c>
      <c r="N6" s="205"/>
      <c r="O6" s="205"/>
    </row>
    <row r="7" spans="1:15" s="220" customFormat="1" ht="17.25" x14ac:dyDescent="0.3">
      <c r="A7" s="304" t="s">
        <v>60</v>
      </c>
      <c r="B7" s="195">
        <v>8925124442</v>
      </c>
      <c r="C7" s="222">
        <v>45661</v>
      </c>
      <c r="D7" s="195"/>
      <c r="E7" s="195">
        <v>1500</v>
      </c>
      <c r="F7" s="218">
        <v>1</v>
      </c>
      <c r="G7" s="195"/>
      <c r="H7" s="222"/>
      <c r="I7" s="195"/>
      <c r="J7" s="223"/>
      <c r="K7" s="183"/>
      <c r="L7" s="218"/>
      <c r="M7" s="205">
        <v>1500</v>
      </c>
      <c r="N7" s="218"/>
      <c r="O7" s="218"/>
    </row>
    <row r="8" spans="1:15" s="165" customFormat="1" ht="17.25" x14ac:dyDescent="0.3">
      <c r="A8" s="249" t="s">
        <v>1641</v>
      </c>
      <c r="B8" s="152">
        <v>8148141825</v>
      </c>
      <c r="C8" s="152" t="s">
        <v>106</v>
      </c>
      <c r="D8" s="152">
        <v>5000</v>
      </c>
      <c r="E8" s="195">
        <v>5000</v>
      </c>
      <c r="F8" s="157">
        <v>3</v>
      </c>
      <c r="G8" s="147">
        <v>4800</v>
      </c>
      <c r="H8" s="221">
        <v>46271</v>
      </c>
      <c r="I8" s="152" t="s">
        <v>880</v>
      </c>
      <c r="J8" s="157"/>
      <c r="K8" s="152"/>
      <c r="L8" s="157"/>
      <c r="M8" s="205" t="s">
        <v>945</v>
      </c>
      <c r="N8" s="157"/>
      <c r="O8" s="157"/>
    </row>
    <row r="9" spans="1:15" s="51" customFormat="1" ht="18.75" x14ac:dyDescent="0.3">
      <c r="A9" s="249" t="s">
        <v>160</v>
      </c>
      <c r="B9" s="152">
        <v>8825663180</v>
      </c>
      <c r="C9" s="152" t="s">
        <v>161</v>
      </c>
      <c r="D9" s="152"/>
      <c r="E9" s="152">
        <v>1750</v>
      </c>
      <c r="F9" s="157">
        <v>1</v>
      </c>
      <c r="G9" s="147">
        <v>1750</v>
      </c>
      <c r="H9" s="152" t="s">
        <v>1663</v>
      </c>
      <c r="I9" s="152" t="s">
        <v>880</v>
      </c>
      <c r="J9" s="74"/>
      <c r="K9" s="152"/>
      <c r="L9" s="74"/>
      <c r="M9" s="205">
        <v>1750</v>
      </c>
      <c r="N9" s="205"/>
      <c r="O9" s="205"/>
    </row>
    <row r="10" spans="1:15" s="51" customFormat="1" ht="18.75" x14ac:dyDescent="0.3">
      <c r="A10" s="249" t="s">
        <v>7</v>
      </c>
      <c r="B10" s="152">
        <v>9840168557</v>
      </c>
      <c r="C10" s="152" t="s">
        <v>1075</v>
      </c>
      <c r="D10" s="152"/>
      <c r="E10" s="152">
        <v>6000</v>
      </c>
      <c r="F10" s="205">
        <v>2</v>
      </c>
      <c r="G10" s="147">
        <v>6000</v>
      </c>
      <c r="H10" s="152" t="s">
        <v>1705</v>
      </c>
      <c r="I10" s="152" t="s">
        <v>1388</v>
      </c>
      <c r="J10" s="74"/>
      <c r="K10" s="152" t="s">
        <v>1725</v>
      </c>
      <c r="L10" s="74"/>
      <c r="M10" s="205">
        <v>2000</v>
      </c>
      <c r="N10" s="205"/>
      <c r="O10" s="205"/>
    </row>
    <row r="11" spans="1:15" s="165" customFormat="1" ht="17.25" x14ac:dyDescent="0.3">
      <c r="A11" s="249" t="s">
        <v>266</v>
      </c>
      <c r="B11" s="152">
        <v>6385458304</v>
      </c>
      <c r="C11" s="152" t="s">
        <v>259</v>
      </c>
      <c r="D11" s="152"/>
      <c r="E11" s="152">
        <v>2200</v>
      </c>
      <c r="F11" s="205">
        <v>1</v>
      </c>
      <c r="G11" s="147">
        <v>2200</v>
      </c>
      <c r="H11" s="152"/>
      <c r="I11" s="152"/>
      <c r="J11" s="157"/>
      <c r="K11" s="152"/>
      <c r="L11" s="157"/>
      <c r="M11" s="205">
        <v>2200</v>
      </c>
      <c r="N11" s="157"/>
      <c r="O11" s="157"/>
    </row>
    <row r="12" spans="1:15" s="51" customFormat="1" ht="18.75" x14ac:dyDescent="0.3">
      <c r="A12" s="249" t="s">
        <v>1644</v>
      </c>
      <c r="B12" s="152">
        <v>9791050538</v>
      </c>
      <c r="C12" s="152" t="s">
        <v>279</v>
      </c>
      <c r="D12" s="152"/>
      <c r="E12" s="152">
        <v>3400</v>
      </c>
      <c r="F12" s="205">
        <v>1</v>
      </c>
      <c r="G12" s="147">
        <v>3400</v>
      </c>
      <c r="H12" s="221">
        <v>46301</v>
      </c>
      <c r="I12" s="152" t="s">
        <v>880</v>
      </c>
      <c r="J12" s="224"/>
      <c r="K12" s="152"/>
      <c r="L12" s="74"/>
      <c r="M12" s="205">
        <v>3400</v>
      </c>
      <c r="N12" s="205"/>
      <c r="O12" s="205"/>
    </row>
    <row r="13" spans="1:15" s="227" customFormat="1" ht="17.25" x14ac:dyDescent="0.3">
      <c r="A13" s="226" t="s">
        <v>767</v>
      </c>
      <c r="B13" s="147">
        <v>8925023082</v>
      </c>
      <c r="C13" s="147" t="s">
        <v>294</v>
      </c>
      <c r="D13" s="147"/>
      <c r="E13" s="147"/>
      <c r="F13" s="225">
        <v>4</v>
      </c>
      <c r="G13" s="147"/>
      <c r="H13" s="147"/>
      <c r="I13" s="147"/>
      <c r="J13" s="226"/>
      <c r="K13" s="147" t="s">
        <v>822</v>
      </c>
      <c r="L13" s="225"/>
      <c r="M13" s="205">
        <v>2100</v>
      </c>
      <c r="N13" s="225"/>
      <c r="O13" s="225"/>
    </row>
    <row r="14" spans="1:15" s="165" customFormat="1" ht="17.25" x14ac:dyDescent="0.3">
      <c r="A14" s="249" t="s">
        <v>330</v>
      </c>
      <c r="B14" s="152">
        <v>9884664943</v>
      </c>
      <c r="C14" s="152" t="s">
        <v>329</v>
      </c>
      <c r="D14" s="152">
        <v>2000</v>
      </c>
      <c r="E14" s="152">
        <v>2000</v>
      </c>
      <c r="F14" s="157">
        <v>1</v>
      </c>
      <c r="G14" s="152"/>
      <c r="H14" s="221"/>
      <c r="I14" s="152"/>
      <c r="J14" s="157"/>
      <c r="K14" s="152"/>
      <c r="L14" s="157"/>
      <c r="M14" s="205">
        <v>2000</v>
      </c>
      <c r="N14" s="157"/>
      <c r="O14" s="157"/>
    </row>
    <row r="15" spans="1:15" s="51" customFormat="1" ht="18.75" x14ac:dyDescent="0.3">
      <c r="A15" s="249" t="s">
        <v>1588</v>
      </c>
      <c r="B15" s="152">
        <v>9940440423</v>
      </c>
      <c r="C15" s="152" t="s">
        <v>337</v>
      </c>
      <c r="D15" s="152"/>
      <c r="E15" s="152">
        <v>1800</v>
      </c>
      <c r="F15" s="205">
        <v>1</v>
      </c>
      <c r="G15" s="147">
        <v>1800</v>
      </c>
      <c r="H15" s="221">
        <v>46118</v>
      </c>
      <c r="I15" s="152" t="s">
        <v>47</v>
      </c>
      <c r="J15" s="74"/>
      <c r="K15" s="152"/>
      <c r="L15" s="74"/>
      <c r="M15" s="205">
        <v>1800</v>
      </c>
      <c r="N15" s="205"/>
      <c r="O15" s="205"/>
    </row>
    <row r="16" spans="1:15" s="165" customFormat="1" ht="17.25" x14ac:dyDescent="0.3">
      <c r="A16" s="249" t="s">
        <v>349</v>
      </c>
      <c r="B16" s="152">
        <v>9884873355</v>
      </c>
      <c r="C16" s="152" t="s">
        <v>353</v>
      </c>
      <c r="D16" s="152">
        <f>23962-10000</f>
        <v>13962</v>
      </c>
      <c r="E16" s="152">
        <v>4600</v>
      </c>
      <c r="F16" s="157">
        <v>2</v>
      </c>
      <c r="G16" s="147"/>
      <c r="H16" s="221"/>
      <c r="I16" s="152"/>
      <c r="J16" s="157"/>
      <c r="K16" s="152"/>
      <c r="L16" s="157"/>
      <c r="M16" s="205" t="s">
        <v>946</v>
      </c>
      <c r="N16" s="157"/>
      <c r="O16" s="157"/>
    </row>
    <row r="17" spans="1:26" s="165" customFormat="1" ht="17.25" x14ac:dyDescent="0.3">
      <c r="A17" s="249" t="s">
        <v>1640</v>
      </c>
      <c r="B17" s="152">
        <v>9042264206</v>
      </c>
      <c r="C17" s="152" t="s">
        <v>351</v>
      </c>
      <c r="D17" s="152"/>
      <c r="E17" s="152">
        <v>4250</v>
      </c>
      <c r="F17" s="157">
        <v>1</v>
      </c>
      <c r="G17" s="147"/>
      <c r="H17" s="152"/>
      <c r="I17" s="152"/>
      <c r="J17" s="157"/>
      <c r="K17" s="152"/>
      <c r="L17" s="157" t="s">
        <v>882</v>
      </c>
      <c r="M17" s="205">
        <v>4250</v>
      </c>
      <c r="N17" s="157"/>
      <c r="O17" s="157"/>
    </row>
    <row r="18" spans="1:26" s="51" customFormat="1" ht="18.75" x14ac:dyDescent="0.3">
      <c r="A18" s="249" t="s">
        <v>993</v>
      </c>
      <c r="B18" s="152">
        <v>8870042240</v>
      </c>
      <c r="C18" s="152" t="s">
        <v>399</v>
      </c>
      <c r="D18" s="152"/>
      <c r="E18" s="152">
        <v>3500</v>
      </c>
      <c r="F18" s="205">
        <v>1</v>
      </c>
      <c r="G18" s="147"/>
      <c r="H18" s="152"/>
      <c r="I18" s="152"/>
      <c r="J18" s="74"/>
      <c r="K18" s="152"/>
      <c r="L18" s="74"/>
      <c r="M18" s="205">
        <v>3500</v>
      </c>
      <c r="N18" s="205"/>
      <c r="O18" s="205"/>
    </row>
    <row r="19" spans="1:26" s="51" customFormat="1" ht="17.25" x14ac:dyDescent="0.3">
      <c r="A19" s="249" t="s">
        <v>979</v>
      </c>
      <c r="B19" s="152">
        <v>9032291673</v>
      </c>
      <c r="C19" s="152" t="s">
        <v>389</v>
      </c>
      <c r="D19" s="152"/>
      <c r="E19" s="152">
        <v>1600</v>
      </c>
      <c r="F19" s="228">
        <v>1</v>
      </c>
      <c r="G19" s="147">
        <v>1600</v>
      </c>
      <c r="H19" s="152" t="s">
        <v>1706</v>
      </c>
      <c r="I19" s="152" t="s">
        <v>880</v>
      </c>
      <c r="J19" s="228"/>
      <c r="K19" s="152"/>
      <c r="L19" s="228"/>
      <c r="M19" s="205">
        <v>1600</v>
      </c>
      <c r="N19" s="205"/>
      <c r="O19" s="205"/>
    </row>
    <row r="20" spans="1:26" s="51" customFormat="1" ht="17.25" x14ac:dyDescent="0.3">
      <c r="A20" s="249" t="s">
        <v>991</v>
      </c>
      <c r="B20" s="152">
        <v>7904409817</v>
      </c>
      <c r="C20" s="152" t="s">
        <v>474</v>
      </c>
      <c r="D20" s="152"/>
      <c r="E20" s="152">
        <v>4500</v>
      </c>
      <c r="F20" s="228">
        <v>1</v>
      </c>
      <c r="G20" s="152">
        <v>4500</v>
      </c>
      <c r="H20" s="221">
        <v>46362</v>
      </c>
      <c r="I20" s="152" t="s">
        <v>880</v>
      </c>
      <c r="J20" s="228"/>
      <c r="K20" s="152"/>
      <c r="L20" s="228" t="s">
        <v>883</v>
      </c>
      <c r="M20" s="205">
        <v>4500</v>
      </c>
      <c r="N20" s="205"/>
      <c r="O20" s="205"/>
    </row>
    <row r="21" spans="1:26" s="51" customFormat="1" ht="17.25" x14ac:dyDescent="0.3">
      <c r="A21" s="249" t="s">
        <v>600</v>
      </c>
      <c r="B21" s="152">
        <v>9962718253</v>
      </c>
      <c r="C21" s="221">
        <v>45668</v>
      </c>
      <c r="D21" s="152">
        <v>2400</v>
      </c>
      <c r="E21" s="152">
        <v>1800</v>
      </c>
      <c r="F21" s="157">
        <v>1</v>
      </c>
      <c r="G21" s="147">
        <f>2500+1200</f>
        <v>3700</v>
      </c>
      <c r="H21" s="221" t="s">
        <v>1715</v>
      </c>
      <c r="I21" s="147" t="s">
        <v>880</v>
      </c>
      <c r="J21" s="157"/>
      <c r="K21" s="147"/>
      <c r="L21" s="157"/>
      <c r="M21" s="205">
        <v>1800</v>
      </c>
      <c r="N21" s="157"/>
      <c r="O21" s="157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spans="1:26" s="227" customFormat="1" ht="17.25" x14ac:dyDescent="0.3">
      <c r="A22" s="226" t="s">
        <v>473</v>
      </c>
      <c r="B22" s="147">
        <v>9566059846</v>
      </c>
      <c r="C22" s="147" t="s">
        <v>474</v>
      </c>
      <c r="D22" s="147">
        <v>8000</v>
      </c>
      <c r="E22" s="147">
        <v>1600</v>
      </c>
      <c r="F22" s="225">
        <v>1</v>
      </c>
      <c r="G22" s="147"/>
      <c r="H22" s="147"/>
      <c r="I22" s="147"/>
      <c r="J22" s="317"/>
      <c r="K22" s="154" t="s">
        <v>822</v>
      </c>
      <c r="L22" s="225"/>
      <c r="M22" s="318">
        <v>1700</v>
      </c>
      <c r="N22" s="225"/>
      <c r="O22" s="225"/>
    </row>
    <row r="23" spans="1:26" s="204" customFormat="1" ht="17.25" x14ac:dyDescent="0.3">
      <c r="A23" s="298" t="s">
        <v>911</v>
      </c>
      <c r="B23" s="201">
        <v>9080869326</v>
      </c>
      <c r="C23" s="201" t="s">
        <v>479</v>
      </c>
      <c r="D23" s="201"/>
      <c r="E23" s="201">
        <v>1650</v>
      </c>
      <c r="F23" s="202">
        <v>1</v>
      </c>
      <c r="G23" s="201">
        <v>2475</v>
      </c>
      <c r="H23" s="201" t="s">
        <v>1664</v>
      </c>
      <c r="I23" s="201" t="s">
        <v>880</v>
      </c>
      <c r="J23" s="202"/>
      <c r="K23" s="201" t="s">
        <v>811</v>
      </c>
      <c r="L23" s="202"/>
      <c r="M23" s="203">
        <v>1750</v>
      </c>
      <c r="N23" s="202"/>
      <c r="O23" s="202"/>
    </row>
    <row r="24" spans="1:26" s="204" customFormat="1" ht="17.25" x14ac:dyDescent="0.3">
      <c r="A24" s="298" t="s">
        <v>504</v>
      </c>
      <c r="B24" s="201">
        <v>9841477377</v>
      </c>
      <c r="C24" s="201" t="s">
        <v>493</v>
      </c>
      <c r="D24" s="246"/>
      <c r="E24" s="201">
        <v>1900</v>
      </c>
      <c r="F24" s="202">
        <v>1</v>
      </c>
      <c r="G24" s="201"/>
      <c r="H24" s="246"/>
      <c r="I24" s="201"/>
      <c r="J24" s="202"/>
      <c r="K24" s="201" t="s">
        <v>811</v>
      </c>
      <c r="L24" s="202"/>
      <c r="M24" s="203">
        <v>2000</v>
      </c>
      <c r="N24" s="202"/>
      <c r="O24" s="202"/>
    </row>
    <row r="25" spans="1:26" s="165" customFormat="1" ht="17.25" x14ac:dyDescent="0.3">
      <c r="A25" s="249" t="s">
        <v>1484</v>
      </c>
      <c r="B25" s="152">
        <v>9791101009</v>
      </c>
      <c r="C25" s="152" t="s">
        <v>522</v>
      </c>
      <c r="D25" s="152"/>
      <c r="E25" s="152">
        <v>1700</v>
      </c>
      <c r="F25" s="157">
        <v>1</v>
      </c>
      <c r="G25" s="152">
        <v>1700</v>
      </c>
      <c r="H25" s="152" t="s">
        <v>1723</v>
      </c>
      <c r="I25" s="152" t="s">
        <v>880</v>
      </c>
      <c r="J25" s="157"/>
      <c r="K25" s="152"/>
      <c r="L25" s="157"/>
      <c r="M25" s="205">
        <v>1700</v>
      </c>
      <c r="N25" s="157"/>
      <c r="O25" s="157"/>
    </row>
    <row r="26" spans="1:26" s="165" customFormat="1" ht="18.75" x14ac:dyDescent="0.3">
      <c r="A26" s="249" t="s">
        <v>1365</v>
      </c>
      <c r="B26" s="152">
        <v>9003517441</v>
      </c>
      <c r="C26" s="152" t="s">
        <v>525</v>
      </c>
      <c r="D26" s="152">
        <f>4500+3500</f>
        <v>8000</v>
      </c>
      <c r="E26" s="152">
        <v>3500</v>
      </c>
      <c r="F26" s="205">
        <v>1</v>
      </c>
      <c r="G26" s="152">
        <v>4000</v>
      </c>
      <c r="H26" s="221">
        <v>46148</v>
      </c>
      <c r="I26" s="152" t="s">
        <v>47</v>
      </c>
      <c r="J26" s="74"/>
      <c r="K26" s="152"/>
      <c r="L26" s="74" t="s">
        <v>884</v>
      </c>
      <c r="M26" s="205">
        <v>3500</v>
      </c>
      <c r="N26" s="205"/>
      <c r="O26" s="205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s="51" customFormat="1" ht="18.75" x14ac:dyDescent="0.3">
      <c r="A27" s="249" t="s">
        <v>543</v>
      </c>
      <c r="B27" s="152">
        <v>9884690348</v>
      </c>
      <c r="C27" s="152" t="s">
        <v>521</v>
      </c>
      <c r="D27" s="152">
        <v>650</v>
      </c>
      <c r="E27" s="152">
        <v>650</v>
      </c>
      <c r="F27" s="205">
        <v>2</v>
      </c>
      <c r="G27" s="152"/>
      <c r="H27" s="152"/>
      <c r="I27" s="152"/>
      <c r="J27" s="74"/>
      <c r="K27" s="152"/>
      <c r="L27" s="74" t="s">
        <v>885</v>
      </c>
      <c r="M27" s="205" t="s">
        <v>886</v>
      </c>
      <c r="N27" s="205"/>
      <c r="O27" s="205"/>
    </row>
    <row r="28" spans="1:26" s="51" customFormat="1" ht="18.75" x14ac:dyDescent="0.3">
      <c r="A28" s="249" t="s">
        <v>638</v>
      </c>
      <c r="B28" s="152">
        <v>7397264637</v>
      </c>
      <c r="C28" s="152" t="s">
        <v>637</v>
      </c>
      <c r="D28" s="152"/>
      <c r="E28" s="152">
        <v>1700</v>
      </c>
      <c r="F28" s="205">
        <v>1</v>
      </c>
      <c r="G28" s="152">
        <v>1600</v>
      </c>
      <c r="H28" s="152" t="s">
        <v>1645</v>
      </c>
      <c r="I28" s="152" t="s">
        <v>880</v>
      </c>
      <c r="J28" s="74"/>
      <c r="K28" s="152"/>
      <c r="L28" s="74"/>
      <c r="M28" s="205"/>
      <c r="N28" s="205"/>
      <c r="O28" s="205"/>
    </row>
    <row r="29" spans="1:26" s="51" customFormat="1" ht="18.75" x14ac:dyDescent="0.3">
      <c r="A29" s="249" t="s">
        <v>1531</v>
      </c>
      <c r="B29" s="152">
        <v>7200151287</v>
      </c>
      <c r="C29" s="152" t="s">
        <v>1428</v>
      </c>
      <c r="D29" s="152">
        <v>13000</v>
      </c>
      <c r="E29" s="152">
        <v>2250</v>
      </c>
      <c r="F29" s="205"/>
      <c r="G29" s="152">
        <v>4350</v>
      </c>
      <c r="H29" s="152"/>
      <c r="I29" s="152" t="s">
        <v>47</v>
      </c>
      <c r="J29" s="74"/>
      <c r="K29" s="152"/>
      <c r="L29" s="74"/>
      <c r="M29" s="205"/>
      <c r="N29" s="205"/>
      <c r="O29" s="205"/>
    </row>
    <row r="30" spans="1:26" s="290" customFormat="1" ht="18.75" x14ac:dyDescent="0.3">
      <c r="A30" s="301" t="s">
        <v>1699</v>
      </c>
      <c r="B30" s="175">
        <v>984004024</v>
      </c>
      <c r="C30" s="175" t="s">
        <v>1076</v>
      </c>
      <c r="D30" s="175"/>
      <c r="E30" s="175">
        <f>1600+12250</f>
        <v>13850</v>
      </c>
      <c r="F30" s="198">
        <v>3</v>
      </c>
      <c r="G30" s="175">
        <v>13850</v>
      </c>
      <c r="H30" s="175" t="s">
        <v>1646</v>
      </c>
      <c r="I30" s="175" t="s">
        <v>47</v>
      </c>
      <c r="J30" s="8"/>
      <c r="K30" s="175"/>
      <c r="L30" s="8"/>
      <c r="M30" s="198" t="s">
        <v>888</v>
      </c>
      <c r="N30" s="198"/>
      <c r="O30" s="198"/>
    </row>
    <row r="31" spans="1:26" s="290" customFormat="1" ht="18.75" x14ac:dyDescent="0.3">
      <c r="A31" s="301" t="s">
        <v>1447</v>
      </c>
      <c r="B31" s="175">
        <v>9003920837</v>
      </c>
      <c r="C31" s="175" t="s">
        <v>712</v>
      </c>
      <c r="D31" s="175"/>
      <c r="E31" s="175">
        <v>1800</v>
      </c>
      <c r="F31" s="198">
        <v>1</v>
      </c>
      <c r="G31" s="175">
        <v>1800</v>
      </c>
      <c r="H31" s="197" t="s">
        <v>1645</v>
      </c>
      <c r="I31" s="175" t="s">
        <v>47</v>
      </c>
      <c r="J31" s="8"/>
      <c r="K31" s="175"/>
      <c r="L31" s="8"/>
      <c r="M31" s="198"/>
      <c r="N31" s="198"/>
      <c r="O31" s="198"/>
    </row>
    <row r="32" spans="1:26" s="290" customFormat="1" ht="18.75" x14ac:dyDescent="0.3">
      <c r="A32" s="301" t="s">
        <v>1639</v>
      </c>
      <c r="B32" s="175">
        <v>7305272310</v>
      </c>
      <c r="C32" s="152" t="s">
        <v>727</v>
      </c>
      <c r="D32" s="175">
        <v>2000</v>
      </c>
      <c r="E32" s="175">
        <v>6000</v>
      </c>
      <c r="F32" s="198">
        <v>1</v>
      </c>
      <c r="G32" s="175"/>
      <c r="H32" s="175"/>
      <c r="I32" s="175"/>
      <c r="J32" s="8"/>
      <c r="K32" s="175"/>
      <c r="L32" s="8"/>
      <c r="M32" s="198"/>
      <c r="N32" s="198"/>
      <c r="O32" s="198"/>
    </row>
    <row r="33" spans="1:26" s="51" customFormat="1" ht="18.75" x14ac:dyDescent="0.3">
      <c r="A33" s="249" t="s">
        <v>735</v>
      </c>
      <c r="B33" s="152"/>
      <c r="C33" s="152" t="s">
        <v>734</v>
      </c>
      <c r="D33" s="152"/>
      <c r="E33" s="152">
        <v>1800</v>
      </c>
      <c r="F33" s="205">
        <v>1</v>
      </c>
      <c r="G33" s="152">
        <v>1800</v>
      </c>
      <c r="H33" s="152" t="s">
        <v>1706</v>
      </c>
      <c r="I33" s="152" t="s">
        <v>47</v>
      </c>
      <c r="J33" s="74"/>
      <c r="K33" s="152"/>
      <c r="L33" s="74"/>
      <c r="M33" s="205"/>
      <c r="N33" s="205"/>
      <c r="O33" s="205"/>
    </row>
    <row r="34" spans="1:26" s="51" customFormat="1" ht="18.75" x14ac:dyDescent="0.3">
      <c r="A34" s="249" t="s">
        <v>904</v>
      </c>
      <c r="B34" s="152">
        <v>8838432039</v>
      </c>
      <c r="C34" s="152" t="s">
        <v>737</v>
      </c>
      <c r="D34" s="152">
        <v>1600</v>
      </c>
      <c r="E34" s="152">
        <v>1600</v>
      </c>
      <c r="F34" s="205">
        <v>1</v>
      </c>
      <c r="G34" s="152"/>
      <c r="H34" s="152"/>
      <c r="I34" s="152"/>
      <c r="J34" s="74"/>
      <c r="K34" s="152"/>
      <c r="L34" s="74"/>
      <c r="M34" s="205"/>
      <c r="N34" s="205"/>
      <c r="O34" s="205"/>
    </row>
    <row r="35" spans="1:26" s="51" customFormat="1" ht="18.75" x14ac:dyDescent="0.3">
      <c r="A35" s="249" t="s">
        <v>738</v>
      </c>
      <c r="B35" s="152">
        <v>9629322643</v>
      </c>
      <c r="C35" s="152" t="s">
        <v>737</v>
      </c>
      <c r="D35" s="152"/>
      <c r="E35" s="152">
        <v>2000</v>
      </c>
      <c r="F35" s="205">
        <v>1</v>
      </c>
      <c r="G35" s="152"/>
      <c r="H35" s="152"/>
      <c r="I35" s="152"/>
      <c r="J35" s="74"/>
      <c r="K35" s="152"/>
      <c r="L35" s="74"/>
      <c r="M35" s="205"/>
      <c r="N35" s="205"/>
      <c r="O35" s="205"/>
    </row>
    <row r="36" spans="1:26" s="340" customFormat="1" ht="17.25" x14ac:dyDescent="0.3">
      <c r="A36" s="305" t="s">
        <v>1608</v>
      </c>
      <c r="B36" s="213">
        <v>9095407562</v>
      </c>
      <c r="C36" s="213" t="s">
        <v>751</v>
      </c>
      <c r="D36" s="213"/>
      <c r="E36" s="213">
        <v>2000</v>
      </c>
      <c r="F36" s="214">
        <v>1</v>
      </c>
      <c r="G36" s="213"/>
      <c r="H36" s="300">
        <v>46087</v>
      </c>
      <c r="I36" s="213"/>
      <c r="J36" s="214"/>
      <c r="K36" s="213" t="s">
        <v>811</v>
      </c>
      <c r="L36" s="214"/>
      <c r="M36" s="215"/>
      <c r="N36" s="214"/>
      <c r="O36" s="214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s="165" customFormat="1" ht="17.25" x14ac:dyDescent="0.3">
      <c r="A37" s="249" t="s">
        <v>764</v>
      </c>
      <c r="B37" s="152">
        <v>9677015136</v>
      </c>
      <c r="C37" s="152" t="s">
        <v>753</v>
      </c>
      <c r="D37" s="152"/>
      <c r="E37" s="152">
        <v>20700</v>
      </c>
      <c r="F37" s="157">
        <v>17</v>
      </c>
      <c r="G37" s="152">
        <v>22900</v>
      </c>
      <c r="H37" s="221">
        <v>46271</v>
      </c>
      <c r="I37" s="152" t="s">
        <v>47</v>
      </c>
      <c r="J37" s="157"/>
      <c r="K37" s="152"/>
      <c r="L37" s="157"/>
      <c r="M37" s="205" t="s">
        <v>889</v>
      </c>
      <c r="N37" s="157"/>
      <c r="O37" s="157"/>
    </row>
    <row r="38" spans="1:26" s="204" customFormat="1" ht="18.75" x14ac:dyDescent="0.3">
      <c r="A38" s="298" t="s">
        <v>768</v>
      </c>
      <c r="B38" s="201"/>
      <c r="C38" s="201" t="s">
        <v>769</v>
      </c>
      <c r="D38" s="246"/>
      <c r="E38" s="201">
        <v>2000</v>
      </c>
      <c r="F38" s="203">
        <v>1</v>
      </c>
      <c r="G38" s="201">
        <v>2000</v>
      </c>
      <c r="H38" s="246">
        <v>46086</v>
      </c>
      <c r="I38" s="201"/>
      <c r="J38" s="284"/>
      <c r="K38" s="201" t="s">
        <v>1576</v>
      </c>
      <c r="L38" s="284"/>
      <c r="M38" s="203"/>
      <c r="N38" s="203"/>
      <c r="O38" s="203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 spans="1:26" s="51" customFormat="1" ht="18.75" x14ac:dyDescent="0.3">
      <c r="A39" s="249" t="s">
        <v>986</v>
      </c>
      <c r="B39" s="152">
        <v>9489210061</v>
      </c>
      <c r="C39" s="152" t="s">
        <v>613</v>
      </c>
      <c r="D39" s="152"/>
      <c r="E39" s="152">
        <v>3500</v>
      </c>
      <c r="F39" s="205">
        <v>1</v>
      </c>
      <c r="G39" s="152">
        <v>3500</v>
      </c>
      <c r="H39" s="152" t="s">
        <v>1706</v>
      </c>
      <c r="I39" s="152" t="s">
        <v>47</v>
      </c>
      <c r="J39" s="74"/>
      <c r="K39" s="152"/>
      <c r="L39" s="74"/>
      <c r="M39" s="205"/>
      <c r="N39" s="205"/>
      <c r="O39" s="205"/>
    </row>
    <row r="40" spans="1:26" s="51" customFormat="1" ht="18.75" x14ac:dyDescent="0.3">
      <c r="A40" s="249" t="s">
        <v>1587</v>
      </c>
      <c r="B40" s="152">
        <v>9500112451</v>
      </c>
      <c r="C40" s="152" t="s">
        <v>788</v>
      </c>
      <c r="D40" s="152"/>
      <c r="E40" s="152">
        <v>2100</v>
      </c>
      <c r="F40" s="205">
        <v>1</v>
      </c>
      <c r="G40" s="152">
        <v>2000</v>
      </c>
      <c r="H40" s="221">
        <v>46118</v>
      </c>
      <c r="I40" s="152" t="s">
        <v>880</v>
      </c>
      <c r="J40" s="74"/>
      <c r="K40" s="152"/>
      <c r="L40" s="74"/>
      <c r="M40" s="205"/>
      <c r="N40" s="205"/>
      <c r="O40" s="205"/>
    </row>
    <row r="41" spans="1:26" s="285" customFormat="1" ht="17.25" x14ac:dyDescent="0.3">
      <c r="A41" s="298" t="s">
        <v>1367</v>
      </c>
      <c r="B41" s="201">
        <v>9840982094</v>
      </c>
      <c r="C41" s="201" t="s">
        <v>790</v>
      </c>
      <c r="D41" s="201"/>
      <c r="E41" s="201">
        <v>21050</v>
      </c>
      <c r="F41" s="202">
        <v>11</v>
      </c>
      <c r="G41" s="201"/>
      <c r="H41" s="201"/>
      <c r="I41" s="201"/>
      <c r="J41" s="202"/>
      <c r="K41" s="201" t="s">
        <v>811</v>
      </c>
      <c r="L41" s="202"/>
      <c r="M41" s="203" t="s">
        <v>1369</v>
      </c>
      <c r="N41" s="202"/>
      <c r="O41" s="202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 spans="1:26" s="285" customFormat="1" ht="17.25" x14ac:dyDescent="0.3">
      <c r="A42" s="298" t="s">
        <v>897</v>
      </c>
      <c r="B42" s="201">
        <v>9710459818</v>
      </c>
      <c r="C42" s="246">
        <v>46084</v>
      </c>
      <c r="D42" s="201"/>
      <c r="E42" s="201">
        <v>2000</v>
      </c>
      <c r="F42" s="202">
        <v>1</v>
      </c>
      <c r="G42" s="201"/>
      <c r="H42" s="246">
        <v>46362</v>
      </c>
      <c r="I42" s="201"/>
      <c r="J42" s="202">
        <v>295</v>
      </c>
      <c r="K42" s="201" t="s">
        <v>811</v>
      </c>
      <c r="L42" s="202">
        <v>594</v>
      </c>
      <c r="M42" s="203"/>
      <c r="N42" s="202" t="s">
        <v>898</v>
      </c>
      <c r="O42" s="202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 spans="1:26" s="204" customFormat="1" ht="17.25" x14ac:dyDescent="0.3">
      <c r="A43" s="298" t="s">
        <v>924</v>
      </c>
      <c r="B43" s="201">
        <v>9840578283</v>
      </c>
      <c r="C43" s="246">
        <v>46237</v>
      </c>
      <c r="D43" s="201">
        <v>3000</v>
      </c>
      <c r="E43" s="201">
        <v>2500</v>
      </c>
      <c r="F43" s="202">
        <v>1</v>
      </c>
      <c r="G43" s="201">
        <v>1000</v>
      </c>
      <c r="H43" s="246">
        <v>46271</v>
      </c>
      <c r="I43" s="201" t="s">
        <v>880</v>
      </c>
      <c r="J43" s="202">
        <v>302</v>
      </c>
      <c r="K43" s="201" t="s">
        <v>811</v>
      </c>
      <c r="L43" s="202">
        <v>627</v>
      </c>
      <c r="M43" s="203"/>
      <c r="N43" s="202" t="s">
        <v>950</v>
      </c>
      <c r="O43" s="202"/>
    </row>
    <row r="44" spans="1:26" s="204" customFormat="1" ht="17.25" x14ac:dyDescent="0.3">
      <c r="A44" s="298" t="s">
        <v>1029</v>
      </c>
      <c r="B44" s="201">
        <v>9840300430</v>
      </c>
      <c r="C44" s="201" t="s">
        <v>953</v>
      </c>
      <c r="D44" s="201"/>
      <c r="E44" s="201">
        <v>2500</v>
      </c>
      <c r="F44" s="202">
        <v>1</v>
      </c>
      <c r="G44" s="201">
        <v>2300</v>
      </c>
      <c r="H44" s="201" t="s">
        <v>1666</v>
      </c>
      <c r="I44" s="342" t="s">
        <v>880</v>
      </c>
      <c r="J44" s="202"/>
      <c r="K44" s="201" t="s">
        <v>1729</v>
      </c>
      <c r="L44" s="202"/>
      <c r="M44" s="203"/>
      <c r="N44" s="202"/>
      <c r="O44" s="202"/>
    </row>
    <row r="45" spans="1:26" s="165" customFormat="1" ht="17.25" x14ac:dyDescent="0.3">
      <c r="A45" s="249" t="s">
        <v>983</v>
      </c>
      <c r="B45" s="152"/>
      <c r="C45" s="152" t="s">
        <v>964</v>
      </c>
      <c r="D45" s="152">
        <v>5500</v>
      </c>
      <c r="E45" s="152">
        <v>5500</v>
      </c>
      <c r="F45" s="157">
        <v>1</v>
      </c>
      <c r="G45" s="152">
        <v>11000</v>
      </c>
      <c r="H45" s="221" t="s">
        <v>1716</v>
      </c>
      <c r="I45" s="152" t="s">
        <v>47</v>
      </c>
      <c r="J45" s="157"/>
      <c r="K45" s="152"/>
      <c r="L45" s="157">
        <v>615</v>
      </c>
      <c r="M45" s="157"/>
      <c r="N45" s="152" t="s">
        <v>930</v>
      </c>
      <c r="O45" s="157"/>
    </row>
    <row r="46" spans="1:26" s="165" customFormat="1" ht="17.25" x14ac:dyDescent="0.3">
      <c r="A46" s="249" t="s">
        <v>1458</v>
      </c>
      <c r="B46" s="152"/>
      <c r="C46" s="221">
        <v>46026</v>
      </c>
      <c r="D46" s="152"/>
      <c r="E46" s="152">
        <v>10000</v>
      </c>
      <c r="F46" s="157">
        <v>1</v>
      </c>
      <c r="G46" s="152">
        <v>10000</v>
      </c>
      <c r="H46" s="221">
        <v>46087</v>
      </c>
      <c r="I46" s="152" t="s">
        <v>47</v>
      </c>
      <c r="J46" s="157"/>
      <c r="K46" s="152"/>
      <c r="L46" s="157"/>
      <c r="M46" s="157"/>
      <c r="N46" s="157"/>
      <c r="O46" s="157"/>
    </row>
    <row r="47" spans="1:26" s="165" customFormat="1" ht="17.25" x14ac:dyDescent="0.3">
      <c r="A47" s="301" t="s">
        <v>1032</v>
      </c>
      <c r="B47" s="152"/>
      <c r="C47" s="152" t="s">
        <v>1007</v>
      </c>
      <c r="D47" s="152"/>
      <c r="E47" s="152">
        <v>2500</v>
      </c>
      <c r="F47" s="157">
        <v>1</v>
      </c>
      <c r="G47" s="152">
        <v>2500</v>
      </c>
      <c r="H47" s="152" t="s">
        <v>1705</v>
      </c>
      <c r="I47" s="152" t="s">
        <v>47</v>
      </c>
      <c r="J47" s="157"/>
      <c r="K47" s="152"/>
      <c r="L47" s="157"/>
      <c r="M47" s="157"/>
      <c r="N47" s="157"/>
      <c r="O47" s="157"/>
    </row>
    <row r="48" spans="1:26" s="204" customFormat="1" ht="17.25" x14ac:dyDescent="0.3">
      <c r="A48" s="298" t="s">
        <v>1014</v>
      </c>
      <c r="B48" s="201"/>
      <c r="C48" s="201" t="s">
        <v>1002</v>
      </c>
      <c r="D48" s="201" t="s">
        <v>1717</v>
      </c>
      <c r="E48" s="201">
        <v>1500</v>
      </c>
      <c r="F48" s="202">
        <v>1</v>
      </c>
      <c r="G48" s="201"/>
      <c r="H48" s="246">
        <v>46149</v>
      </c>
      <c r="I48" s="201"/>
      <c r="J48" s="202"/>
      <c r="K48" s="201" t="s">
        <v>1741</v>
      </c>
      <c r="L48" s="202"/>
      <c r="M48" s="202"/>
      <c r="N48" s="202"/>
      <c r="O48" s="202"/>
    </row>
    <row r="49" spans="1:26" s="199" customFormat="1" ht="17.25" x14ac:dyDescent="0.3">
      <c r="A49" s="301" t="s">
        <v>1030</v>
      </c>
      <c r="B49" s="175"/>
      <c r="C49" s="197">
        <v>45663</v>
      </c>
      <c r="D49" s="175"/>
      <c r="E49" s="175">
        <v>3200</v>
      </c>
      <c r="F49" s="149">
        <v>2</v>
      </c>
      <c r="G49" s="175" t="s">
        <v>1718</v>
      </c>
      <c r="H49" s="197" t="s">
        <v>1719</v>
      </c>
      <c r="I49" s="175" t="s">
        <v>47</v>
      </c>
      <c r="J49" s="149"/>
      <c r="K49" s="175" t="s">
        <v>1571</v>
      </c>
      <c r="L49" s="149"/>
      <c r="M49" s="149" t="s">
        <v>1026</v>
      </c>
      <c r="N49" s="149" t="s">
        <v>1027</v>
      </c>
      <c r="O49" s="149"/>
    </row>
    <row r="50" spans="1:26" s="297" customFormat="1" ht="17.25" x14ac:dyDescent="0.3">
      <c r="A50" s="306" t="s">
        <v>1063</v>
      </c>
      <c r="B50" s="294"/>
      <c r="C50" s="295">
        <v>46299</v>
      </c>
      <c r="D50" s="294">
        <v>5000</v>
      </c>
      <c r="E50" s="294">
        <v>1800</v>
      </c>
      <c r="F50" s="180"/>
      <c r="G50" s="294">
        <v>1800</v>
      </c>
      <c r="H50" s="295">
        <v>46362</v>
      </c>
      <c r="I50" s="294" t="s">
        <v>47</v>
      </c>
      <c r="J50" s="180"/>
      <c r="K50" s="294"/>
      <c r="L50" s="180"/>
      <c r="M50" s="180"/>
      <c r="N50" s="180"/>
      <c r="O50" s="296"/>
    </row>
    <row r="51" spans="1:26" s="297" customFormat="1" ht="17.25" x14ac:dyDescent="0.3">
      <c r="A51" s="306" t="s">
        <v>1727</v>
      </c>
      <c r="B51" s="294">
        <v>9789995556</v>
      </c>
      <c r="C51" s="295">
        <v>46330</v>
      </c>
      <c r="D51" s="294"/>
      <c r="E51" s="294">
        <v>2000</v>
      </c>
      <c r="F51" s="180">
        <v>1</v>
      </c>
      <c r="G51" s="294">
        <v>2000</v>
      </c>
      <c r="H51" s="295" t="s">
        <v>1673</v>
      </c>
      <c r="I51" s="294" t="s">
        <v>880</v>
      </c>
      <c r="J51" s="180"/>
      <c r="K51" s="294"/>
      <c r="L51" s="180"/>
      <c r="M51" s="180"/>
      <c r="N51" s="180"/>
      <c r="O51" s="296"/>
    </row>
    <row r="52" spans="1:26" s="216" customFormat="1" ht="17.25" x14ac:dyDescent="0.3">
      <c r="A52" s="305" t="s">
        <v>1375</v>
      </c>
      <c r="B52" s="213"/>
      <c r="C52" s="300" t="s">
        <v>1082</v>
      </c>
      <c r="D52" s="213"/>
      <c r="E52" s="213">
        <v>1800</v>
      </c>
      <c r="F52" s="214"/>
      <c r="G52" s="213">
        <v>1800</v>
      </c>
      <c r="H52" s="300" t="s">
        <v>1704</v>
      </c>
      <c r="I52" s="213" t="s">
        <v>880</v>
      </c>
      <c r="J52" s="214"/>
      <c r="K52" s="213" t="s">
        <v>811</v>
      </c>
      <c r="L52" s="214"/>
      <c r="M52" s="214"/>
      <c r="N52" s="214"/>
      <c r="O52" s="293"/>
    </row>
    <row r="53" spans="1:26" s="204" customFormat="1" ht="17.25" x14ac:dyDescent="0.3">
      <c r="A53" s="298" t="s">
        <v>1077</v>
      </c>
      <c r="B53" s="298">
        <v>8110929028</v>
      </c>
      <c r="C53" s="322">
        <v>46176</v>
      </c>
      <c r="D53" s="298"/>
      <c r="E53" s="201">
        <v>6000</v>
      </c>
      <c r="F53" s="298"/>
      <c r="G53" s="298"/>
      <c r="H53" s="322">
        <v>46148</v>
      </c>
      <c r="I53" s="201"/>
      <c r="J53" s="298"/>
      <c r="K53" s="298" t="s">
        <v>1589</v>
      </c>
      <c r="L53" s="298"/>
      <c r="M53" s="323"/>
      <c r="N53" s="298"/>
      <c r="O53" s="324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spans="1:26" s="271" customFormat="1" ht="17.25" x14ac:dyDescent="0.3">
      <c r="A54" s="249" t="s">
        <v>1093</v>
      </c>
      <c r="B54" s="152"/>
      <c r="C54" s="221" t="s">
        <v>1094</v>
      </c>
      <c r="D54" s="152"/>
      <c r="E54" s="152">
        <v>2500</v>
      </c>
      <c r="F54" s="157">
        <v>1</v>
      </c>
      <c r="G54" s="152">
        <v>2500</v>
      </c>
      <c r="H54" s="221" t="s">
        <v>1673</v>
      </c>
      <c r="I54" s="152" t="s">
        <v>47</v>
      </c>
      <c r="J54" s="157"/>
      <c r="K54" s="152"/>
      <c r="L54" s="157"/>
      <c r="M54" s="205"/>
      <c r="N54" s="157"/>
      <c r="O54" s="291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spans="1:26" s="165" customFormat="1" ht="17.25" x14ac:dyDescent="0.3">
      <c r="A55" s="249" t="s">
        <v>1672</v>
      </c>
      <c r="B55" s="152"/>
      <c r="C55" s="221" t="s">
        <v>1094</v>
      </c>
      <c r="D55" s="152"/>
      <c r="E55" s="152">
        <v>2500</v>
      </c>
      <c r="F55" s="157">
        <v>1</v>
      </c>
      <c r="G55" s="152">
        <v>2500</v>
      </c>
      <c r="H55" s="221" t="s">
        <v>1673</v>
      </c>
      <c r="I55" s="152" t="s">
        <v>47</v>
      </c>
      <c r="J55" s="157"/>
      <c r="K55" s="152"/>
      <c r="L55" s="157"/>
      <c r="M55" s="205"/>
      <c r="N55" s="157"/>
      <c r="O55" s="291"/>
    </row>
    <row r="56" spans="1:26" s="165" customFormat="1" ht="17.25" x14ac:dyDescent="0.3">
      <c r="A56" s="249" t="s">
        <v>1634</v>
      </c>
      <c r="B56" s="152"/>
      <c r="C56" s="221" t="s">
        <v>1110</v>
      </c>
      <c r="D56" s="152"/>
      <c r="E56" s="152">
        <v>4250</v>
      </c>
      <c r="F56" s="157">
        <v>2</v>
      </c>
      <c r="G56" s="152">
        <v>5350</v>
      </c>
      <c r="H56" s="221">
        <v>46059</v>
      </c>
      <c r="I56" s="152" t="s">
        <v>47</v>
      </c>
      <c r="J56" s="157"/>
      <c r="K56" s="152"/>
      <c r="L56" s="157"/>
      <c r="M56" s="205" t="s">
        <v>1371</v>
      </c>
      <c r="N56" s="157"/>
      <c r="O56" s="291"/>
    </row>
    <row r="57" spans="1:26" s="165" customFormat="1" ht="17.25" x14ac:dyDescent="0.3">
      <c r="A57" s="249" t="s">
        <v>1460</v>
      </c>
      <c r="B57" s="152"/>
      <c r="C57" s="221">
        <v>46057</v>
      </c>
      <c r="D57" s="152"/>
      <c r="E57" s="152">
        <v>4000</v>
      </c>
      <c r="F57" s="157">
        <v>1</v>
      </c>
      <c r="G57" s="152">
        <v>4000</v>
      </c>
      <c r="H57" s="221">
        <v>46209</v>
      </c>
      <c r="I57" s="152" t="s">
        <v>880</v>
      </c>
      <c r="J57" s="157"/>
      <c r="K57" s="152"/>
      <c r="L57" s="157"/>
      <c r="M57" s="205"/>
      <c r="N57" s="157"/>
    </row>
    <row r="58" spans="1:26" s="165" customFormat="1" ht="17.25" x14ac:dyDescent="0.3">
      <c r="A58" t="s">
        <v>1633</v>
      </c>
      <c r="B58" s="152">
        <v>9790812585</v>
      </c>
      <c r="C58" s="221" t="s">
        <v>1154</v>
      </c>
      <c r="D58" s="152"/>
      <c r="E58" s="152">
        <v>4500</v>
      </c>
      <c r="F58" s="157">
        <v>1</v>
      </c>
      <c r="G58" s="152">
        <v>4000</v>
      </c>
      <c r="H58" s="221"/>
      <c r="I58" s="152" t="s">
        <v>47</v>
      </c>
      <c r="J58" s="157"/>
      <c r="K58" s="152"/>
      <c r="L58" s="157"/>
      <c r="M58" s="205"/>
      <c r="N58" s="157"/>
    </row>
    <row r="59" spans="1:26" s="165" customFormat="1" ht="17.25" x14ac:dyDescent="0.3">
      <c r="A59" s="249" t="s">
        <v>1414</v>
      </c>
      <c r="B59" s="152">
        <v>9940023308</v>
      </c>
      <c r="C59" s="221">
        <v>46086</v>
      </c>
      <c r="D59" s="152"/>
      <c r="E59" s="152">
        <v>2000</v>
      </c>
      <c r="F59" s="157"/>
      <c r="G59" s="152">
        <v>2000</v>
      </c>
      <c r="H59" s="221">
        <v>46148</v>
      </c>
      <c r="I59" s="152" t="s">
        <v>47</v>
      </c>
      <c r="J59" s="157"/>
      <c r="K59" s="152"/>
      <c r="L59" s="157"/>
      <c r="M59" s="205"/>
      <c r="N59" s="157"/>
    </row>
    <row r="60" spans="1:26" s="204" customFormat="1" ht="17.25" x14ac:dyDescent="0.3">
      <c r="A60" s="298" t="s">
        <v>1415</v>
      </c>
      <c r="B60" s="201">
        <v>9884829051</v>
      </c>
      <c r="C60" s="246">
        <v>46117</v>
      </c>
      <c r="D60" s="201">
        <v>2000</v>
      </c>
      <c r="E60" s="201">
        <v>2000</v>
      </c>
      <c r="F60" s="202"/>
      <c r="G60" s="201">
        <v>2000</v>
      </c>
      <c r="H60" s="246">
        <v>46118</v>
      </c>
      <c r="I60" s="201" t="s">
        <v>47</v>
      </c>
      <c r="J60" s="202"/>
      <c r="K60" s="201" t="s">
        <v>811</v>
      </c>
      <c r="L60" s="202"/>
      <c r="M60" s="203"/>
      <c r="N60" s="202"/>
    </row>
    <row r="61" spans="1:26" s="204" customFormat="1" ht="17.25" x14ac:dyDescent="0.3">
      <c r="A61" s="298" t="s">
        <v>1632</v>
      </c>
      <c r="B61" s="201"/>
      <c r="C61" s="246">
        <v>46147</v>
      </c>
      <c r="D61" s="201"/>
      <c r="E61" s="201">
        <v>2000</v>
      </c>
      <c r="F61" s="202"/>
      <c r="G61" s="201"/>
      <c r="H61" s="246">
        <v>46179</v>
      </c>
      <c r="I61" s="201"/>
      <c r="J61" s="202"/>
      <c r="K61" s="201" t="s">
        <v>811</v>
      </c>
      <c r="L61" s="202"/>
      <c r="M61" s="203"/>
      <c r="N61" s="202"/>
    </row>
    <row r="62" spans="1:26" s="165" customFormat="1" ht="17.25" x14ac:dyDescent="0.3">
      <c r="A62" s="249" t="s">
        <v>1675</v>
      </c>
      <c r="B62" s="152"/>
      <c r="C62" s="221">
        <v>46331</v>
      </c>
      <c r="D62" s="152"/>
      <c r="E62" s="152">
        <v>1600</v>
      </c>
      <c r="F62" s="157">
        <v>1</v>
      </c>
      <c r="G62" s="152">
        <v>1600</v>
      </c>
      <c r="H62" s="221" t="s">
        <v>1663</v>
      </c>
      <c r="I62" s="152" t="s">
        <v>47</v>
      </c>
      <c r="J62" s="157"/>
      <c r="K62" s="152"/>
      <c r="L62" s="157"/>
      <c r="M62" s="205"/>
      <c r="N62" s="157"/>
    </row>
    <row r="63" spans="1:26" s="165" customFormat="1" ht="17.25" x14ac:dyDescent="0.3">
      <c r="A63" s="249" t="s">
        <v>1462</v>
      </c>
      <c r="B63" s="152"/>
      <c r="C63" s="221">
        <v>46270</v>
      </c>
      <c r="D63" s="152"/>
      <c r="E63" s="152">
        <v>11000</v>
      </c>
      <c r="F63" s="157">
        <v>1</v>
      </c>
      <c r="G63" s="152"/>
      <c r="H63" s="221"/>
      <c r="I63" s="152"/>
      <c r="J63" s="157"/>
      <c r="K63" s="152"/>
      <c r="L63" s="157"/>
      <c r="M63" s="205"/>
      <c r="N63" s="157"/>
    </row>
    <row r="64" spans="1:26" s="204" customFormat="1" x14ac:dyDescent="0.4">
      <c r="A64" s="298" t="s">
        <v>1420</v>
      </c>
      <c r="B64" s="201">
        <v>7708123675</v>
      </c>
      <c r="C64" s="246">
        <v>46300</v>
      </c>
      <c r="D64" s="201"/>
      <c r="E64" s="201">
        <v>2500</v>
      </c>
      <c r="F64" s="202"/>
      <c r="G64" s="201"/>
      <c r="H64" s="246">
        <v>46240</v>
      </c>
      <c r="I64" s="201"/>
      <c r="J64" s="202"/>
      <c r="K64" s="201" t="s">
        <v>811</v>
      </c>
      <c r="L64" s="202"/>
      <c r="M64" s="203"/>
      <c r="N64" s="202"/>
    </row>
    <row r="65" spans="1:14" s="165" customFormat="1" x14ac:dyDescent="0.4">
      <c r="A65" s="249" t="s">
        <v>1670</v>
      </c>
      <c r="B65" s="152"/>
      <c r="C65" s="221" t="s">
        <v>1423</v>
      </c>
      <c r="D65" s="152"/>
      <c r="E65" s="152">
        <v>4250</v>
      </c>
      <c r="F65" s="157">
        <v>2</v>
      </c>
      <c r="G65" s="152">
        <v>4000</v>
      </c>
      <c r="H65" s="221" t="s">
        <v>1664</v>
      </c>
      <c r="I65" s="152" t="s">
        <v>47</v>
      </c>
      <c r="J65" s="157"/>
      <c r="K65" s="152"/>
      <c r="L65" s="157"/>
      <c r="M65" s="205"/>
      <c r="N65" s="157"/>
    </row>
    <row r="66" spans="1:14" s="204" customFormat="1" x14ac:dyDescent="0.4">
      <c r="A66" s="298" t="s">
        <v>1676</v>
      </c>
      <c r="B66" s="201"/>
      <c r="C66" s="246" t="s">
        <v>1425</v>
      </c>
      <c r="D66" s="201"/>
      <c r="E66" s="201">
        <v>2500</v>
      </c>
      <c r="F66" s="202">
        <v>1</v>
      </c>
      <c r="G66" s="201"/>
      <c r="H66" s="246"/>
      <c r="I66" s="201"/>
      <c r="J66" s="202"/>
      <c r="K66" s="201" t="s">
        <v>811</v>
      </c>
      <c r="L66" s="202"/>
      <c r="M66" s="203"/>
      <c r="N66" s="202"/>
    </row>
    <row r="67" spans="1:14" s="204" customFormat="1" x14ac:dyDescent="0.4">
      <c r="A67" s="298" t="s">
        <v>1426</v>
      </c>
      <c r="B67" s="201"/>
      <c r="C67" s="246" t="s">
        <v>1424</v>
      </c>
      <c r="D67" s="201"/>
      <c r="E67" s="201">
        <v>2000</v>
      </c>
      <c r="F67" s="202">
        <v>1</v>
      </c>
      <c r="G67" s="201"/>
      <c r="H67" s="246" t="s">
        <v>1674</v>
      </c>
      <c r="I67" s="201"/>
      <c r="J67" s="202"/>
      <c r="K67" s="201" t="s">
        <v>811</v>
      </c>
      <c r="L67" s="202"/>
      <c r="M67" s="203"/>
      <c r="N67" s="202"/>
    </row>
    <row r="68" spans="1:14" s="165" customFormat="1" x14ac:dyDescent="0.4">
      <c r="A68" s="249" t="s">
        <v>1631</v>
      </c>
      <c r="B68" s="152">
        <v>9500112857</v>
      </c>
      <c r="C68" s="221" t="s">
        <v>1424</v>
      </c>
      <c r="D68" s="152" t="s">
        <v>1720</v>
      </c>
      <c r="E68" s="152">
        <v>5500</v>
      </c>
      <c r="F68" s="230">
        <v>1</v>
      </c>
      <c r="G68" s="152">
        <v>2750</v>
      </c>
      <c r="H68" s="221"/>
      <c r="I68" s="152" t="s">
        <v>47</v>
      </c>
      <c r="J68" s="230"/>
      <c r="K68" s="231"/>
      <c r="L68" s="230"/>
      <c r="M68" s="232"/>
    </row>
    <row r="69" spans="1:14" s="165" customFormat="1" x14ac:dyDescent="0.4">
      <c r="A69" s="249" t="s">
        <v>1541</v>
      </c>
      <c r="B69" s="152"/>
      <c r="C69" s="197"/>
      <c r="D69" s="152"/>
      <c r="E69" s="152"/>
      <c r="F69" s="230"/>
      <c r="G69" s="152"/>
      <c r="H69" s="221"/>
      <c r="I69" s="152"/>
      <c r="J69" s="230"/>
      <c r="K69" s="231"/>
      <c r="L69" s="230"/>
      <c r="M69" s="232"/>
    </row>
    <row r="70" spans="1:14" s="165" customFormat="1" x14ac:dyDescent="0.4">
      <c r="A70" s="249" t="s">
        <v>1721</v>
      </c>
      <c r="B70" s="152"/>
      <c r="C70" s="197" t="s">
        <v>1465</v>
      </c>
      <c r="D70" s="152"/>
      <c r="E70" s="152">
        <v>1600</v>
      </c>
      <c r="F70" s="230">
        <v>1</v>
      </c>
      <c r="G70" s="152">
        <v>1600</v>
      </c>
      <c r="H70" s="221" t="s">
        <v>1722</v>
      </c>
      <c r="I70" s="152" t="s">
        <v>47</v>
      </c>
      <c r="J70" s="230"/>
      <c r="K70" s="231"/>
      <c r="L70" s="230"/>
      <c r="M70" s="232"/>
    </row>
    <row r="71" spans="1:14" s="204" customFormat="1" x14ac:dyDescent="0.4">
      <c r="A71" s="298" t="s">
        <v>1480</v>
      </c>
      <c r="B71" s="201"/>
      <c r="C71" s="246" t="s">
        <v>1465</v>
      </c>
      <c r="D71" s="201"/>
      <c r="E71" s="201">
        <v>2000</v>
      </c>
      <c r="F71" s="333">
        <v>1</v>
      </c>
      <c r="G71" s="201"/>
      <c r="H71" s="246"/>
      <c r="I71" s="201"/>
      <c r="J71" s="333"/>
      <c r="K71" s="334" t="s">
        <v>811</v>
      </c>
      <c r="L71" s="333"/>
      <c r="M71" s="335"/>
    </row>
    <row r="72" spans="1:14" s="204" customFormat="1" ht="18" x14ac:dyDescent="0.4">
      <c r="A72" s="298" t="s">
        <v>1481</v>
      </c>
      <c r="B72" s="201"/>
      <c r="C72" s="246" t="s">
        <v>1465</v>
      </c>
      <c r="D72" s="201"/>
      <c r="E72" s="201">
        <v>1700</v>
      </c>
      <c r="F72" s="333">
        <v>1</v>
      </c>
      <c r="G72" s="201"/>
      <c r="H72" s="246"/>
      <c r="I72" s="201"/>
      <c r="J72" s="341"/>
      <c r="K72" s="334" t="s">
        <v>811</v>
      </c>
      <c r="L72" s="333"/>
      <c r="M72" s="335"/>
    </row>
    <row r="73" spans="1:14" s="165" customFormat="1" x14ac:dyDescent="0.4">
      <c r="A73" s="301" t="s">
        <v>1044</v>
      </c>
      <c r="B73" s="175"/>
      <c r="C73" s="197" t="s">
        <v>1532</v>
      </c>
      <c r="D73" s="152"/>
      <c r="E73" s="152">
        <f>1650*4</f>
        <v>6600</v>
      </c>
      <c r="F73" s="230">
        <v>3</v>
      </c>
      <c r="G73" s="152"/>
      <c r="H73" s="221"/>
      <c r="I73" s="152"/>
      <c r="J73" s="230"/>
      <c r="K73" s="231"/>
      <c r="L73" s="230"/>
      <c r="M73" s="232"/>
    </row>
    <row r="74" spans="1:14" s="165" customFormat="1" x14ac:dyDescent="0.4">
      <c r="A74" s="249" t="s">
        <v>1630</v>
      </c>
      <c r="B74" s="175"/>
      <c r="C74" s="197">
        <v>46028</v>
      </c>
      <c r="D74" s="152"/>
      <c r="E74" s="152">
        <v>3000</v>
      </c>
      <c r="F74" s="230">
        <v>3</v>
      </c>
      <c r="G74" s="152"/>
      <c r="H74" s="221"/>
      <c r="I74" s="152" t="s">
        <v>47</v>
      </c>
      <c r="J74" s="230"/>
      <c r="K74" s="231"/>
      <c r="L74" s="230"/>
      <c r="M74" s="232"/>
    </row>
    <row r="75" spans="1:14" s="165" customFormat="1" x14ac:dyDescent="0.4">
      <c r="A75" s="249" t="s">
        <v>1584</v>
      </c>
      <c r="B75" s="175"/>
      <c r="C75" s="197">
        <v>46118</v>
      </c>
      <c r="D75" s="152"/>
      <c r="E75" s="152">
        <v>4000</v>
      </c>
      <c r="F75" s="230">
        <v>1</v>
      </c>
      <c r="G75" s="152">
        <v>4000</v>
      </c>
      <c r="H75" s="221">
        <v>46118</v>
      </c>
      <c r="I75" s="152" t="s">
        <v>47</v>
      </c>
      <c r="J75" s="230"/>
      <c r="K75" s="231"/>
      <c r="L75" s="230"/>
      <c r="M75" s="232"/>
    </row>
    <row r="76" spans="1:14" s="165" customFormat="1" x14ac:dyDescent="0.4">
      <c r="A76" s="249" t="s">
        <v>1613</v>
      </c>
      <c r="B76" s="175"/>
      <c r="C76" s="197">
        <v>46118</v>
      </c>
      <c r="D76" s="152"/>
      <c r="E76" s="152">
        <v>1700</v>
      </c>
      <c r="F76" s="230">
        <v>1</v>
      </c>
      <c r="G76" s="152"/>
      <c r="H76" s="221"/>
      <c r="I76" s="152"/>
      <c r="J76" s="230">
        <v>407</v>
      </c>
      <c r="K76" s="231"/>
      <c r="L76" s="230"/>
      <c r="M76" s="232"/>
    </row>
    <row r="77" spans="1:14" s="165" customFormat="1" x14ac:dyDescent="0.4">
      <c r="A77" s="249" t="s">
        <v>1586</v>
      </c>
      <c r="B77" s="175"/>
      <c r="C77" s="197">
        <v>46118</v>
      </c>
      <c r="D77" s="152"/>
      <c r="E77" s="152">
        <v>2000</v>
      </c>
      <c r="F77" s="230">
        <v>1</v>
      </c>
      <c r="G77" s="152">
        <v>2000</v>
      </c>
      <c r="H77" s="221">
        <v>46118</v>
      </c>
      <c r="I77" s="152" t="s">
        <v>47</v>
      </c>
      <c r="J77" s="230">
        <v>408</v>
      </c>
      <c r="K77" s="231"/>
      <c r="L77" s="230"/>
      <c r="M77" s="232"/>
    </row>
    <row r="78" spans="1:14" s="165" customFormat="1" x14ac:dyDescent="0.4">
      <c r="A78" s="249" t="s">
        <v>1615</v>
      </c>
      <c r="B78" s="175"/>
      <c r="C78" s="197">
        <v>46179</v>
      </c>
      <c r="D78" s="152"/>
      <c r="E78" s="152">
        <v>2000</v>
      </c>
      <c r="F78" s="230">
        <v>1</v>
      </c>
      <c r="G78" s="152"/>
      <c r="H78" s="221"/>
      <c r="I78" s="152"/>
      <c r="J78" s="230">
        <v>409</v>
      </c>
      <c r="K78" s="231" t="s">
        <v>1728</v>
      </c>
      <c r="L78" s="230"/>
      <c r="M78" s="232"/>
    </row>
    <row r="79" spans="1:14" s="204" customFormat="1" x14ac:dyDescent="0.4">
      <c r="A79" s="298" t="s">
        <v>1614</v>
      </c>
      <c r="B79" s="201"/>
      <c r="C79" s="246">
        <v>46118</v>
      </c>
      <c r="D79" s="201"/>
      <c r="E79" s="201">
        <v>2000</v>
      </c>
      <c r="F79" s="333">
        <v>1</v>
      </c>
      <c r="G79" s="201"/>
      <c r="H79" s="246"/>
      <c r="I79" s="201"/>
      <c r="J79" s="333">
        <v>411</v>
      </c>
      <c r="K79" s="334" t="s">
        <v>1661</v>
      </c>
      <c r="L79" s="333"/>
      <c r="M79" s="335"/>
    </row>
    <row r="80" spans="1:14" s="165" customFormat="1" x14ac:dyDescent="0.4">
      <c r="A80" s="249" t="s">
        <v>1616</v>
      </c>
      <c r="B80" s="175"/>
      <c r="C80" s="197">
        <v>46209</v>
      </c>
      <c r="D80" s="152"/>
      <c r="E80" s="152">
        <v>3400</v>
      </c>
      <c r="F80" s="230">
        <v>2</v>
      </c>
      <c r="G80" s="152"/>
      <c r="H80" s="221"/>
      <c r="I80" s="152"/>
      <c r="J80" s="230">
        <v>412</v>
      </c>
      <c r="K80" s="231"/>
      <c r="L80" s="230"/>
      <c r="M80" s="232"/>
    </row>
    <row r="81" spans="1:13" s="204" customFormat="1" x14ac:dyDescent="0.4">
      <c r="A81" s="298" t="s">
        <v>1612</v>
      </c>
      <c r="B81" s="201"/>
      <c r="C81" s="246">
        <v>46271</v>
      </c>
      <c r="D81" s="201"/>
      <c r="E81" s="201">
        <v>1600</v>
      </c>
      <c r="F81" s="333">
        <v>1</v>
      </c>
      <c r="G81" s="201"/>
      <c r="H81" s="246"/>
      <c r="I81" s="201"/>
      <c r="J81" s="333"/>
      <c r="K81" s="334" t="s">
        <v>1660</v>
      </c>
      <c r="L81" s="333"/>
      <c r="M81" s="335"/>
    </row>
    <row r="82" spans="1:13" s="165" customFormat="1" x14ac:dyDescent="0.4">
      <c r="A82" s="249" t="s">
        <v>520</v>
      </c>
      <c r="B82" s="175"/>
      <c r="C82" s="197">
        <v>46362</v>
      </c>
      <c r="D82" s="152"/>
      <c r="E82" s="152"/>
      <c r="F82" s="230">
        <v>2</v>
      </c>
      <c r="G82" s="152"/>
      <c r="H82" s="221"/>
      <c r="I82" s="152"/>
      <c r="J82" s="230"/>
      <c r="K82" s="231"/>
      <c r="L82" s="230"/>
      <c r="M82" s="232"/>
    </row>
    <row r="83" spans="1:13" s="165" customFormat="1" x14ac:dyDescent="0.4">
      <c r="A83" s="249" t="s">
        <v>1629</v>
      </c>
      <c r="B83" s="175"/>
      <c r="C83" s="197">
        <v>46362</v>
      </c>
      <c r="D83" s="152"/>
      <c r="E83" s="152">
        <v>1600</v>
      </c>
      <c r="F83" s="230">
        <v>1</v>
      </c>
      <c r="G83" s="152">
        <v>1600</v>
      </c>
      <c r="H83" s="221" t="s">
        <v>1646</v>
      </c>
      <c r="I83" s="152" t="s">
        <v>47</v>
      </c>
      <c r="J83" s="230"/>
      <c r="K83" s="231"/>
      <c r="L83" s="230"/>
      <c r="M83" s="232"/>
    </row>
    <row r="84" spans="1:13" s="204" customFormat="1" x14ac:dyDescent="0.4">
      <c r="A84" s="298" t="s">
        <v>1628</v>
      </c>
      <c r="B84" s="201"/>
      <c r="C84" s="246">
        <v>46362</v>
      </c>
      <c r="D84" s="201"/>
      <c r="E84" s="201">
        <v>2000</v>
      </c>
      <c r="F84" s="333">
        <v>1</v>
      </c>
      <c r="G84" s="201"/>
      <c r="H84" s="246"/>
      <c r="I84" s="201"/>
      <c r="J84" s="333"/>
      <c r="K84" s="334" t="s">
        <v>1729</v>
      </c>
      <c r="L84" s="333"/>
      <c r="M84" s="335"/>
    </row>
    <row r="85" spans="1:13" s="165" customFormat="1" x14ac:dyDescent="0.4">
      <c r="A85" s="249" t="s">
        <v>1671</v>
      </c>
      <c r="B85" s="175"/>
      <c r="C85" s="197" t="s">
        <v>1653</v>
      </c>
      <c r="D85" s="152"/>
      <c r="E85" s="152">
        <v>4500</v>
      </c>
      <c r="F85" s="230">
        <v>1</v>
      </c>
      <c r="G85" s="152">
        <v>3500</v>
      </c>
      <c r="H85" s="221" t="s">
        <v>1704</v>
      </c>
      <c r="I85" s="152" t="s">
        <v>47</v>
      </c>
      <c r="J85" s="230"/>
      <c r="K85" s="231"/>
      <c r="L85" s="230"/>
      <c r="M85" s="232"/>
    </row>
    <row r="86" spans="1:13" s="165" customFormat="1" x14ac:dyDescent="0.4">
      <c r="A86" s="249" t="s">
        <v>1654</v>
      </c>
      <c r="B86" s="175">
        <v>9790862314</v>
      </c>
      <c r="C86" s="197" t="s">
        <v>1655</v>
      </c>
      <c r="D86" s="152"/>
      <c r="E86" s="152">
        <v>2200</v>
      </c>
      <c r="F86" s="230">
        <v>1</v>
      </c>
      <c r="G86" s="152">
        <v>2200</v>
      </c>
      <c r="H86" s="221" t="s">
        <v>1655</v>
      </c>
      <c r="I86" s="152" t="s">
        <v>880</v>
      </c>
      <c r="J86" s="230"/>
      <c r="K86" s="231"/>
      <c r="L86" s="230"/>
      <c r="M86" s="232"/>
    </row>
    <row r="87" spans="1:13" s="165" customFormat="1" x14ac:dyDescent="0.4">
      <c r="A87" s="336" t="s">
        <v>1668</v>
      </c>
      <c r="B87" s="157"/>
      <c r="C87" s="337" t="s">
        <v>1666</v>
      </c>
      <c r="D87" s="152">
        <v>10000</v>
      </c>
      <c r="E87" s="152">
        <v>3000</v>
      </c>
      <c r="F87" s="230">
        <v>1</v>
      </c>
      <c r="G87" s="152">
        <v>13000</v>
      </c>
      <c r="H87" s="221" t="s">
        <v>1666</v>
      </c>
      <c r="I87" s="152"/>
      <c r="J87" s="230"/>
      <c r="K87" s="231"/>
      <c r="L87" s="230"/>
      <c r="M87" s="232"/>
    </row>
    <row r="88" spans="1:13" s="204" customFormat="1" x14ac:dyDescent="0.4">
      <c r="A88" s="343" t="s">
        <v>1665</v>
      </c>
      <c r="B88" s="201"/>
      <c r="C88" s="344" t="s">
        <v>1664</v>
      </c>
      <c r="D88" s="201"/>
      <c r="E88" s="201">
        <v>1200</v>
      </c>
      <c r="F88" s="333">
        <v>1</v>
      </c>
      <c r="G88" s="201">
        <v>1200</v>
      </c>
      <c r="H88" s="246" t="s">
        <v>1664</v>
      </c>
      <c r="I88" s="201"/>
      <c r="J88" s="333"/>
      <c r="K88" s="334" t="s">
        <v>1734</v>
      </c>
      <c r="L88" s="333"/>
      <c r="M88" s="335"/>
    </row>
    <row r="89" spans="1:13" s="165" customFormat="1" x14ac:dyDescent="0.4">
      <c r="A89" s="336" t="s">
        <v>1701</v>
      </c>
      <c r="B89" s="175"/>
      <c r="C89" s="338" t="s">
        <v>1673</v>
      </c>
      <c r="D89" s="152"/>
      <c r="E89" s="152">
        <v>1300</v>
      </c>
      <c r="F89" s="230">
        <v>1</v>
      </c>
      <c r="G89" s="152"/>
      <c r="H89" s="197"/>
      <c r="I89" s="152"/>
      <c r="J89" s="230"/>
      <c r="K89" s="231"/>
      <c r="L89" s="230"/>
      <c r="M89" s="232"/>
    </row>
    <row r="90" spans="1:13" s="165" customFormat="1" x14ac:dyDescent="0.4">
      <c r="A90" s="336" t="s">
        <v>1702</v>
      </c>
      <c r="B90" s="175"/>
      <c r="C90" s="338" t="s">
        <v>1673</v>
      </c>
      <c r="D90" s="152"/>
      <c r="E90" s="152">
        <v>2300</v>
      </c>
      <c r="F90" s="230">
        <v>1</v>
      </c>
      <c r="G90" s="152"/>
      <c r="H90" s="197"/>
      <c r="I90" s="152"/>
      <c r="J90" s="230"/>
      <c r="K90" s="231"/>
      <c r="L90" s="230"/>
      <c r="M90" s="232"/>
    </row>
    <row r="91" spans="1:13" s="165" customFormat="1" x14ac:dyDescent="0.4">
      <c r="A91" s="336" t="s">
        <v>1703</v>
      </c>
      <c r="B91" s="175"/>
      <c r="C91" s="338" t="s">
        <v>1704</v>
      </c>
      <c r="D91" s="152"/>
      <c r="E91" s="152">
        <v>2200</v>
      </c>
      <c r="F91" s="230">
        <v>1</v>
      </c>
      <c r="G91" s="152">
        <v>2000</v>
      </c>
      <c r="H91" s="197" t="s">
        <v>1704</v>
      </c>
      <c r="I91" s="152" t="s">
        <v>1388</v>
      </c>
      <c r="J91" s="230"/>
      <c r="K91" s="231"/>
      <c r="L91" s="230"/>
      <c r="M91" s="232"/>
    </row>
    <row r="92" spans="1:13" s="165" customFormat="1" x14ac:dyDescent="0.4">
      <c r="A92" s="336" t="s">
        <v>1714</v>
      </c>
      <c r="B92" s="175">
        <v>9344098139</v>
      </c>
      <c r="C92" s="338" t="s">
        <v>1709</v>
      </c>
      <c r="D92" s="152"/>
      <c r="E92" s="152">
        <v>5500</v>
      </c>
      <c r="F92" s="230">
        <v>1</v>
      </c>
      <c r="G92" s="152">
        <v>5700</v>
      </c>
      <c r="H92" s="197"/>
      <c r="I92" s="152"/>
      <c r="J92" s="230"/>
      <c r="K92" s="231"/>
      <c r="L92" s="230"/>
      <c r="M92" s="232"/>
    </row>
    <row r="93" spans="1:13" s="165" customFormat="1" x14ac:dyDescent="0.4">
      <c r="A93" s="336" t="s">
        <v>1710</v>
      </c>
      <c r="B93" s="175">
        <v>9884610172</v>
      </c>
      <c r="C93" s="338" t="s">
        <v>1709</v>
      </c>
      <c r="D93" s="152"/>
      <c r="E93" s="152">
        <v>1200</v>
      </c>
      <c r="F93" s="230">
        <v>1</v>
      </c>
      <c r="G93" s="152">
        <v>1300</v>
      </c>
      <c r="H93" s="197"/>
      <c r="I93" s="152"/>
      <c r="J93" s="230"/>
      <c r="K93" s="231"/>
      <c r="L93" s="230"/>
      <c r="M93" s="232"/>
    </row>
    <row r="94" spans="1:13" s="165" customFormat="1" x14ac:dyDescent="0.4">
      <c r="A94" s="336" t="s">
        <v>1711</v>
      </c>
      <c r="B94" s="175" t="s">
        <v>1712</v>
      </c>
      <c r="C94" s="338" t="s">
        <v>1709</v>
      </c>
      <c r="D94" s="152">
        <v>1000</v>
      </c>
      <c r="E94" s="152">
        <v>2750</v>
      </c>
      <c r="F94" s="230">
        <v>1</v>
      </c>
      <c r="G94" s="152">
        <v>4000</v>
      </c>
      <c r="H94" s="197"/>
      <c r="I94" s="152"/>
      <c r="J94" s="230"/>
      <c r="K94" s="231"/>
      <c r="L94" s="230"/>
      <c r="M94" s="232"/>
    </row>
    <row r="95" spans="1:13" s="165" customFormat="1" x14ac:dyDescent="0.4">
      <c r="A95" s="336" t="s">
        <v>1713</v>
      </c>
      <c r="B95" s="175">
        <v>7448958137</v>
      </c>
      <c r="C95" s="338" t="s">
        <v>1704</v>
      </c>
      <c r="D95" s="152"/>
      <c r="E95" s="152">
        <v>1600</v>
      </c>
      <c r="F95" s="230">
        <v>1</v>
      </c>
      <c r="G95" s="152">
        <v>1700</v>
      </c>
      <c r="H95" s="197"/>
      <c r="I95" s="152"/>
      <c r="J95" s="230"/>
      <c r="K95" s="231"/>
      <c r="L95" s="230"/>
      <c r="M95" s="232"/>
    </row>
    <row r="96" spans="1:13" s="165" customFormat="1" x14ac:dyDescent="0.4">
      <c r="A96" s="336"/>
      <c r="B96" s="175"/>
      <c r="C96" s="338"/>
      <c r="D96" s="152"/>
      <c r="E96" s="152"/>
      <c r="F96" s="230"/>
      <c r="G96" s="152"/>
      <c r="H96" s="197"/>
      <c r="I96" s="152"/>
      <c r="J96" s="230"/>
      <c r="K96" s="231"/>
      <c r="L96" s="230"/>
      <c r="M96" s="232"/>
    </row>
    <row r="97" spans="1:26" s="165" customFormat="1" x14ac:dyDescent="0.4">
      <c r="A97" s="308" t="s">
        <v>66</v>
      </c>
      <c r="B97" s="152"/>
      <c r="C97" s="152"/>
      <c r="D97" s="152"/>
      <c r="E97" s="152"/>
      <c r="F97" s="157"/>
      <c r="G97" s="152"/>
      <c r="H97" s="152"/>
      <c r="I97" s="152"/>
      <c r="J97" s="157"/>
      <c r="K97" s="152"/>
      <c r="L97" s="157"/>
      <c r="M97" s="205"/>
    </row>
    <row r="98" spans="1:26" s="165" customFormat="1" x14ac:dyDescent="0.4">
      <c r="A98" s="308" t="s">
        <v>828</v>
      </c>
      <c r="B98" s="235" t="s">
        <v>829</v>
      </c>
      <c r="C98" s="235" t="s">
        <v>830</v>
      </c>
      <c r="D98" s="235" t="s">
        <v>831</v>
      </c>
      <c r="E98" s="235" t="s">
        <v>817</v>
      </c>
      <c r="F98" s="233" t="s">
        <v>878</v>
      </c>
      <c r="G98" s="233" t="s">
        <v>833</v>
      </c>
      <c r="H98" s="235" t="s">
        <v>819</v>
      </c>
      <c r="I98" s="235" t="s">
        <v>876</v>
      </c>
      <c r="J98" s="233" t="s">
        <v>872</v>
      </c>
      <c r="K98" s="233"/>
      <c r="L98" s="233" t="s">
        <v>877</v>
      </c>
      <c r="M98" s="205"/>
      <c r="N98" s="235" t="s">
        <v>69</v>
      </c>
      <c r="O98" s="235" t="s">
        <v>834</v>
      </c>
    </row>
    <row r="99" spans="1:26" s="178" customFormat="1" x14ac:dyDescent="0.4">
      <c r="A99" s="309" t="s">
        <v>187</v>
      </c>
      <c r="B99" s="276"/>
      <c r="C99" s="277" t="s">
        <v>860</v>
      </c>
      <c r="D99" s="276"/>
      <c r="E99" s="276">
        <v>25600</v>
      </c>
      <c r="F99" s="278">
        <v>28</v>
      </c>
      <c r="G99" s="278">
        <v>29928</v>
      </c>
      <c r="H99" s="278" t="s">
        <v>1655</v>
      </c>
      <c r="I99" s="276" t="s">
        <v>1659</v>
      </c>
      <c r="J99" s="276"/>
      <c r="K99" s="320" t="s">
        <v>1543</v>
      </c>
      <c r="L99" s="278"/>
      <c r="M99" s="279"/>
      <c r="N99" s="276">
        <f t="shared" ref="N99:N116" si="0">E99*18%</f>
        <v>4608</v>
      </c>
      <c r="O99" s="276">
        <f t="shared" ref="O99:O116" si="1">E99+N99</f>
        <v>30208</v>
      </c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spans="1:26" s="280" customFormat="1" ht="16.5" customHeight="1" x14ac:dyDescent="0.4">
      <c r="A100" s="310" t="s">
        <v>289</v>
      </c>
      <c r="B100" s="155"/>
      <c r="C100" s="155" t="s">
        <v>450</v>
      </c>
      <c r="D100" s="155"/>
      <c r="E100" s="155">
        <v>35765</v>
      </c>
      <c r="F100" s="174">
        <v>21</v>
      </c>
      <c r="G100" s="174">
        <v>39840</v>
      </c>
      <c r="H100" s="327">
        <v>46118</v>
      </c>
      <c r="I100" s="155" t="s">
        <v>1065</v>
      </c>
      <c r="J100" s="155"/>
      <c r="K100" s="316" t="s">
        <v>1669</v>
      </c>
      <c r="L100" s="174"/>
      <c r="M100" s="142"/>
      <c r="N100" s="155">
        <f t="shared" si="0"/>
        <v>6437.7</v>
      </c>
      <c r="O100" s="155">
        <f t="shared" si="1"/>
        <v>42202.7</v>
      </c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spans="1:26" s="178" customFormat="1" ht="20.25" customHeight="1" x14ac:dyDescent="0.4">
      <c r="A101" s="310" t="s">
        <v>520</v>
      </c>
      <c r="B101" s="155"/>
      <c r="C101" s="155" t="s">
        <v>846</v>
      </c>
      <c r="D101" s="155"/>
      <c r="E101" s="155">
        <v>41746</v>
      </c>
      <c r="F101" s="174">
        <v>7</v>
      </c>
      <c r="G101" s="328">
        <v>56104</v>
      </c>
      <c r="H101" s="177">
        <v>46240</v>
      </c>
      <c r="I101" s="155" t="s">
        <v>1065</v>
      </c>
      <c r="J101" s="155"/>
      <c r="K101" s="316"/>
      <c r="L101" s="174"/>
      <c r="M101" s="142"/>
      <c r="N101" s="155">
        <f t="shared" si="0"/>
        <v>7514.28</v>
      </c>
      <c r="O101" s="155">
        <f t="shared" si="1"/>
        <v>49260.28</v>
      </c>
    </row>
    <row r="102" spans="1:26" s="178" customFormat="1" ht="16.5" customHeight="1" x14ac:dyDescent="0.4">
      <c r="A102" s="309" t="s">
        <v>416</v>
      </c>
      <c r="B102" s="276"/>
      <c r="C102" s="277" t="s">
        <v>450</v>
      </c>
      <c r="D102" s="276"/>
      <c r="E102" s="276">
        <v>14500</v>
      </c>
      <c r="F102" s="278">
        <v>10</v>
      </c>
      <c r="G102" s="278">
        <v>16768</v>
      </c>
      <c r="H102" s="326">
        <v>46179</v>
      </c>
      <c r="I102" s="276" t="s">
        <v>1065</v>
      </c>
      <c r="J102" s="276"/>
      <c r="K102" s="319" t="s">
        <v>1544</v>
      </c>
      <c r="L102" s="278"/>
      <c r="M102" s="279"/>
      <c r="N102" s="276">
        <f t="shared" si="0"/>
        <v>2610</v>
      </c>
      <c r="O102" s="276">
        <f t="shared" si="1"/>
        <v>17110</v>
      </c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spans="1:26" s="280" customFormat="1" ht="21.75" customHeight="1" x14ac:dyDescent="0.4">
      <c r="A103" s="310" t="s">
        <v>409</v>
      </c>
      <c r="B103" s="155"/>
      <c r="C103" s="155" t="s">
        <v>450</v>
      </c>
      <c r="D103" s="155"/>
      <c r="E103" s="155">
        <v>41469</v>
      </c>
      <c r="F103" s="174">
        <v>18</v>
      </c>
      <c r="G103" s="155"/>
      <c r="H103" s="278"/>
      <c r="I103" s="155"/>
      <c r="J103" s="155"/>
      <c r="K103" s="316" t="s">
        <v>1567</v>
      </c>
      <c r="L103" s="174"/>
      <c r="M103" s="142"/>
      <c r="N103" s="155">
        <f t="shared" si="0"/>
        <v>7464.42</v>
      </c>
      <c r="O103" s="155">
        <f t="shared" si="1"/>
        <v>48933.42</v>
      </c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spans="1:26" s="178" customFormat="1" x14ac:dyDescent="0.4">
      <c r="A104" s="309" t="s">
        <v>341</v>
      </c>
      <c r="B104" s="276"/>
      <c r="C104" s="277" t="s">
        <v>450</v>
      </c>
      <c r="D104" s="276"/>
      <c r="E104" s="276">
        <v>6000</v>
      </c>
      <c r="F104" s="278">
        <v>3</v>
      </c>
      <c r="G104" s="278"/>
      <c r="H104" s="283"/>
      <c r="I104" s="276"/>
      <c r="J104" s="276"/>
      <c r="K104" s="276" t="s">
        <v>1555</v>
      </c>
      <c r="L104" s="278"/>
      <c r="M104" s="279"/>
      <c r="N104" s="276">
        <f t="shared" si="0"/>
        <v>1080</v>
      </c>
      <c r="O104" s="276">
        <f t="shared" si="1"/>
        <v>7080</v>
      </c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spans="1:26" s="280" customFormat="1" x14ac:dyDescent="0.4">
      <c r="A105" s="310" t="s">
        <v>291</v>
      </c>
      <c r="B105" s="155"/>
      <c r="C105" s="177">
        <v>45661</v>
      </c>
      <c r="D105" s="155"/>
      <c r="E105" s="155">
        <v>2500</v>
      </c>
      <c r="F105" s="174">
        <v>1</v>
      </c>
      <c r="G105" s="155"/>
      <c r="H105" s="177"/>
      <c r="I105" s="281"/>
      <c r="J105" s="281"/>
      <c r="K105" s="320" t="s">
        <v>1546</v>
      </c>
      <c r="L105" s="174"/>
      <c r="M105" s="142"/>
      <c r="N105" s="155">
        <f t="shared" si="0"/>
        <v>450</v>
      </c>
      <c r="O105" s="155">
        <f t="shared" si="1"/>
        <v>2950</v>
      </c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spans="1:26" s="178" customFormat="1" x14ac:dyDescent="0.4">
      <c r="A106" s="310" t="s">
        <v>70</v>
      </c>
      <c r="B106" s="155"/>
      <c r="C106" s="155" t="s">
        <v>450</v>
      </c>
      <c r="D106" s="155"/>
      <c r="E106" s="155">
        <v>2800</v>
      </c>
      <c r="F106" s="174">
        <v>4</v>
      </c>
      <c r="G106" s="155"/>
      <c r="H106" s="155"/>
      <c r="I106" s="155"/>
      <c r="J106" s="155"/>
      <c r="K106" s="155" t="s">
        <v>1569</v>
      </c>
      <c r="L106" s="174"/>
      <c r="M106" s="142"/>
      <c r="N106" s="155">
        <f t="shared" si="0"/>
        <v>504</v>
      </c>
      <c r="O106" s="155">
        <f t="shared" si="1"/>
        <v>3304</v>
      </c>
    </row>
    <row r="107" spans="1:26" s="199" customFormat="1" x14ac:dyDescent="0.4">
      <c r="A107" s="301" t="s">
        <v>1044</v>
      </c>
      <c r="B107" s="175">
        <v>8870214412</v>
      </c>
      <c r="C107" s="197">
        <v>46116</v>
      </c>
      <c r="D107" s="175"/>
      <c r="E107" s="175"/>
      <c r="F107" s="180">
        <v>3</v>
      </c>
      <c r="G107" s="294"/>
      <c r="H107" s="294"/>
      <c r="I107" s="294"/>
      <c r="J107" s="294"/>
      <c r="K107" s="175"/>
      <c r="L107" s="180"/>
      <c r="M107" s="315"/>
      <c r="N107" s="294">
        <f t="shared" si="0"/>
        <v>0</v>
      </c>
      <c r="O107" s="294">
        <f t="shared" si="1"/>
        <v>0</v>
      </c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</row>
    <row r="108" spans="1:26" s="280" customFormat="1" x14ac:dyDescent="0.4">
      <c r="A108" s="310" t="s">
        <v>1635</v>
      </c>
      <c r="B108" s="155">
        <v>9790299900</v>
      </c>
      <c r="C108" s="177">
        <v>46145</v>
      </c>
      <c r="D108" s="155"/>
      <c r="E108" s="155">
        <v>5750</v>
      </c>
      <c r="F108" s="174">
        <v>1</v>
      </c>
      <c r="G108" s="155"/>
      <c r="H108" s="174"/>
      <c r="I108" s="155"/>
      <c r="J108" s="155"/>
      <c r="K108" s="155" t="s">
        <v>1568</v>
      </c>
      <c r="L108" s="174"/>
      <c r="M108" s="142"/>
      <c r="N108" s="155">
        <f t="shared" si="0"/>
        <v>1035</v>
      </c>
      <c r="O108" s="155">
        <f t="shared" si="1"/>
        <v>6785</v>
      </c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spans="1:26" s="178" customFormat="1" x14ac:dyDescent="0.4">
      <c r="A109" s="310" t="s">
        <v>791</v>
      </c>
      <c r="B109" s="155">
        <v>9952955111</v>
      </c>
      <c r="C109" s="177">
        <v>46025</v>
      </c>
      <c r="D109" s="155"/>
      <c r="E109" s="155">
        <v>2000</v>
      </c>
      <c r="F109" s="174">
        <v>1</v>
      </c>
      <c r="G109" s="155"/>
      <c r="H109" s="155"/>
      <c r="I109" s="155"/>
      <c r="J109" s="155"/>
      <c r="K109" s="155" t="s">
        <v>1046</v>
      </c>
      <c r="L109" s="174"/>
      <c r="M109" s="142"/>
      <c r="N109" s="155">
        <f t="shared" si="0"/>
        <v>360</v>
      </c>
      <c r="O109" s="155">
        <f t="shared" si="1"/>
        <v>2360</v>
      </c>
    </row>
    <row r="110" spans="1:26" s="178" customFormat="1" x14ac:dyDescent="0.4">
      <c r="A110" s="310" t="s">
        <v>459</v>
      </c>
      <c r="B110" s="155"/>
      <c r="C110" s="155" t="s">
        <v>893</v>
      </c>
      <c r="D110" s="155"/>
      <c r="E110" s="155">
        <v>4000</v>
      </c>
      <c r="F110" s="174">
        <v>2</v>
      </c>
      <c r="G110" s="155">
        <v>9440</v>
      </c>
      <c r="H110" s="177">
        <v>46087</v>
      </c>
      <c r="I110" s="155" t="s">
        <v>1065</v>
      </c>
      <c r="J110" s="155"/>
      <c r="K110" s="155" t="s">
        <v>1570</v>
      </c>
      <c r="L110" s="174"/>
      <c r="M110" s="142"/>
      <c r="N110" s="155">
        <f t="shared" si="0"/>
        <v>720</v>
      </c>
      <c r="O110" s="155">
        <f t="shared" si="1"/>
        <v>4720</v>
      </c>
    </row>
    <row r="111" spans="1:26" s="178" customFormat="1" x14ac:dyDescent="0.4">
      <c r="A111" s="310" t="s">
        <v>434</v>
      </c>
      <c r="B111" s="155"/>
      <c r="C111" s="155" t="s">
        <v>893</v>
      </c>
      <c r="D111" s="155" t="s">
        <v>1451</v>
      </c>
      <c r="E111" s="155">
        <v>14475</v>
      </c>
      <c r="F111" s="174">
        <v>8</v>
      </c>
      <c r="G111" s="155"/>
      <c r="H111" s="155"/>
      <c r="I111" s="286"/>
      <c r="J111" s="155"/>
      <c r="K111" s="155"/>
      <c r="L111" s="174"/>
      <c r="M111" s="142"/>
      <c r="N111" s="155">
        <f t="shared" si="0"/>
        <v>2605.5</v>
      </c>
      <c r="O111" s="155">
        <f t="shared" si="1"/>
        <v>17080.5</v>
      </c>
    </row>
    <row r="112" spans="1:26" s="178" customFormat="1" x14ac:dyDescent="0.4">
      <c r="A112" s="310" t="s">
        <v>701</v>
      </c>
      <c r="B112" s="155">
        <v>7794025725</v>
      </c>
      <c r="C112" s="155" t="s">
        <v>708</v>
      </c>
      <c r="D112" s="155"/>
      <c r="E112" s="155">
        <v>17300</v>
      </c>
      <c r="F112" s="174">
        <v>10</v>
      </c>
      <c r="G112" s="155"/>
      <c r="H112" s="155"/>
      <c r="I112" s="286"/>
      <c r="J112" s="155"/>
      <c r="K112" s="155"/>
      <c r="L112" s="174"/>
      <c r="M112" s="142"/>
      <c r="N112" s="155">
        <f t="shared" si="0"/>
        <v>3114</v>
      </c>
      <c r="O112" s="155">
        <f t="shared" si="1"/>
        <v>20414</v>
      </c>
    </row>
    <row r="113" spans="1:15" s="178" customFormat="1" x14ac:dyDescent="0.4">
      <c r="A113" s="310" t="s">
        <v>1636</v>
      </c>
      <c r="B113" s="155">
        <v>9043035545</v>
      </c>
      <c r="C113" s="155" t="s">
        <v>707</v>
      </c>
      <c r="D113" s="155"/>
      <c r="E113" s="155">
        <v>16000</v>
      </c>
      <c r="F113" s="174">
        <v>1</v>
      </c>
      <c r="G113" s="155"/>
      <c r="H113" s="155"/>
      <c r="I113" s="155"/>
      <c r="J113" s="155"/>
      <c r="K113" s="320" t="s">
        <v>1545</v>
      </c>
      <c r="L113" s="174"/>
      <c r="M113" s="142"/>
      <c r="N113" s="155">
        <f t="shared" si="0"/>
        <v>2880</v>
      </c>
      <c r="O113" s="155">
        <f t="shared" si="1"/>
        <v>18880</v>
      </c>
    </row>
    <row r="114" spans="1:15" s="178" customFormat="1" x14ac:dyDescent="0.4">
      <c r="A114" s="310" t="s">
        <v>604</v>
      </c>
      <c r="B114" s="155">
        <v>9442130825</v>
      </c>
      <c r="C114" s="155" t="s">
        <v>707</v>
      </c>
      <c r="D114" s="155"/>
      <c r="E114" s="155">
        <v>10000</v>
      </c>
      <c r="F114" s="174">
        <v>2</v>
      </c>
      <c r="G114" s="155"/>
      <c r="H114" s="155"/>
      <c r="I114" s="155"/>
      <c r="J114" s="155"/>
      <c r="K114" s="320" t="s">
        <v>1607</v>
      </c>
      <c r="L114" s="174"/>
      <c r="M114" s="142"/>
      <c r="N114" s="155">
        <f t="shared" si="0"/>
        <v>1800</v>
      </c>
      <c r="O114" s="155">
        <f t="shared" si="1"/>
        <v>11800</v>
      </c>
    </row>
    <row r="115" spans="1:15" s="199" customFormat="1" ht="16.5" customHeight="1" x14ac:dyDescent="0.4">
      <c r="A115" s="301" t="s">
        <v>835</v>
      </c>
      <c r="B115" s="175"/>
      <c r="C115" s="175" t="s">
        <v>795</v>
      </c>
      <c r="D115" s="175"/>
      <c r="E115" s="175">
        <f>15*1600</f>
        <v>24000</v>
      </c>
      <c r="F115" s="149">
        <v>8</v>
      </c>
      <c r="G115" s="175">
        <v>29075</v>
      </c>
      <c r="H115" s="197" t="s">
        <v>1655</v>
      </c>
      <c r="I115" s="175" t="s">
        <v>1065</v>
      </c>
      <c r="J115" s="175"/>
      <c r="K115" s="175"/>
      <c r="L115" s="149"/>
      <c r="M115" s="198"/>
      <c r="N115" s="175">
        <f t="shared" si="0"/>
        <v>4320</v>
      </c>
      <c r="O115" s="175">
        <f t="shared" si="1"/>
        <v>28320</v>
      </c>
    </row>
    <row r="116" spans="1:15" s="199" customFormat="1" x14ac:dyDescent="0.4">
      <c r="A116" s="301" t="s">
        <v>405</v>
      </c>
      <c r="B116" s="175"/>
      <c r="C116" s="175" t="s">
        <v>852</v>
      </c>
      <c r="D116" s="175"/>
      <c r="E116" s="175">
        <v>1400</v>
      </c>
      <c r="F116" s="149">
        <v>1</v>
      </c>
      <c r="G116" s="175"/>
      <c r="H116" s="175"/>
      <c r="I116" s="175"/>
      <c r="J116" s="175"/>
      <c r="K116" s="339" t="s">
        <v>1707</v>
      </c>
      <c r="L116" s="149"/>
      <c r="M116" s="198"/>
      <c r="N116" s="175">
        <f t="shared" si="0"/>
        <v>252</v>
      </c>
      <c r="O116" s="175">
        <f t="shared" si="1"/>
        <v>1652</v>
      </c>
    </row>
    <row r="117" spans="1:15" s="199" customFormat="1" x14ac:dyDescent="0.4">
      <c r="A117" s="301" t="s">
        <v>405</v>
      </c>
      <c r="B117" s="175"/>
      <c r="C117" s="175" t="s">
        <v>972</v>
      </c>
      <c r="D117" s="175"/>
      <c r="E117" s="175">
        <v>1400</v>
      </c>
      <c r="F117" s="149">
        <v>2</v>
      </c>
      <c r="G117" s="175"/>
      <c r="H117" s="175"/>
      <c r="I117" s="175"/>
      <c r="J117" s="175"/>
      <c r="K117" s="175"/>
      <c r="L117" s="149"/>
      <c r="M117" s="198"/>
      <c r="N117" s="175"/>
      <c r="O117" s="175"/>
    </row>
    <row r="118" spans="1:15" s="178" customFormat="1" x14ac:dyDescent="0.4">
      <c r="A118" s="310" t="s">
        <v>836</v>
      </c>
      <c r="B118" s="155"/>
      <c r="C118" s="155" t="s">
        <v>1000</v>
      </c>
      <c r="D118" s="155"/>
      <c r="E118" s="155">
        <v>3000</v>
      </c>
      <c r="F118" s="174">
        <v>1</v>
      </c>
      <c r="G118" s="155"/>
      <c r="H118" s="155"/>
      <c r="I118" s="155"/>
      <c r="J118" s="155"/>
      <c r="K118" s="155"/>
      <c r="L118" s="174"/>
      <c r="M118" s="142"/>
      <c r="N118" s="155"/>
      <c r="O118" s="155"/>
    </row>
    <row r="119" spans="1:15" s="178" customFormat="1" x14ac:dyDescent="0.4">
      <c r="A119" s="310" t="s">
        <v>836</v>
      </c>
      <c r="B119" s="155"/>
      <c r="C119" s="155" t="s">
        <v>999</v>
      </c>
      <c r="D119" s="155"/>
      <c r="E119" s="155">
        <v>29400</v>
      </c>
      <c r="F119" s="174">
        <v>17</v>
      </c>
      <c r="G119" s="155"/>
      <c r="H119" s="155"/>
      <c r="I119" s="155"/>
      <c r="J119" s="155"/>
      <c r="K119" s="155"/>
      <c r="L119" s="174"/>
      <c r="M119" s="142"/>
      <c r="N119" s="155"/>
      <c r="O119" s="155"/>
    </row>
    <row r="120" spans="1:15" s="178" customFormat="1" x14ac:dyDescent="0.4">
      <c r="A120" s="310" t="s">
        <v>836</v>
      </c>
      <c r="B120" s="155"/>
      <c r="C120" s="155" t="s">
        <v>852</v>
      </c>
      <c r="D120" s="155"/>
      <c r="E120" s="155">
        <v>36800</v>
      </c>
      <c r="F120" s="174">
        <v>16</v>
      </c>
      <c r="G120" s="155">
        <v>79112</v>
      </c>
      <c r="H120" s="155" t="s">
        <v>1723</v>
      </c>
      <c r="I120" s="155" t="s">
        <v>1065</v>
      </c>
      <c r="J120" s="155"/>
      <c r="K120" s="155"/>
      <c r="L120" s="174"/>
      <c r="M120" s="142"/>
      <c r="N120" s="155">
        <f>E120*18%</f>
        <v>6624</v>
      </c>
      <c r="O120" s="155">
        <f>E120+N120</f>
        <v>43424</v>
      </c>
    </row>
    <row r="121" spans="1:15" s="178" customFormat="1" x14ac:dyDescent="0.4">
      <c r="A121" s="310" t="s">
        <v>836</v>
      </c>
      <c r="B121" s="155"/>
      <c r="C121" s="155" t="s">
        <v>1245</v>
      </c>
      <c r="D121" s="155"/>
      <c r="E121" s="155">
        <v>2000</v>
      </c>
      <c r="F121" s="174">
        <v>1</v>
      </c>
      <c r="G121" s="155"/>
      <c r="H121" s="155"/>
      <c r="I121" s="155"/>
      <c r="J121" s="155"/>
      <c r="K121" s="155"/>
      <c r="L121" s="174"/>
      <c r="M121" s="142"/>
      <c r="N121" s="155"/>
      <c r="O121" s="155"/>
    </row>
    <row r="122" spans="1:15" s="165" customFormat="1" x14ac:dyDescent="0.4">
      <c r="A122" s="249" t="s">
        <v>519</v>
      </c>
      <c r="B122" s="152"/>
      <c r="C122" s="221">
        <v>46332</v>
      </c>
      <c r="D122" s="152"/>
      <c r="E122" s="152" t="s">
        <v>1700</v>
      </c>
      <c r="F122" s="230">
        <v>3</v>
      </c>
      <c r="G122" s="152"/>
      <c r="H122" s="152"/>
      <c r="I122" s="152"/>
      <c r="J122" s="152"/>
      <c r="K122" s="152"/>
      <c r="L122" s="157"/>
      <c r="M122" s="205"/>
      <c r="N122" s="152"/>
      <c r="O122" s="152"/>
    </row>
    <row r="123" spans="1:15" s="199" customFormat="1" x14ac:dyDescent="0.4">
      <c r="A123" s="301" t="s">
        <v>454</v>
      </c>
      <c r="B123" s="175"/>
      <c r="C123" s="175" t="s">
        <v>847</v>
      </c>
      <c r="D123" s="175"/>
      <c r="E123" s="175">
        <v>2100</v>
      </c>
      <c r="F123" s="149">
        <v>1</v>
      </c>
      <c r="G123" s="175"/>
      <c r="H123" s="175"/>
      <c r="I123" s="175"/>
      <c r="J123" s="175"/>
      <c r="K123" s="175" t="s">
        <v>1089</v>
      </c>
      <c r="L123" s="149"/>
      <c r="M123" s="198"/>
      <c r="N123" s="175">
        <f>E123*18%</f>
        <v>378</v>
      </c>
      <c r="O123" s="175">
        <f>E123+N123</f>
        <v>2478</v>
      </c>
    </row>
    <row r="124" spans="1:15" s="178" customFormat="1" x14ac:dyDescent="0.4">
      <c r="A124" s="310" t="s">
        <v>1045</v>
      </c>
      <c r="B124" s="155">
        <v>7010148704</v>
      </c>
      <c r="C124" s="177">
        <v>46025</v>
      </c>
      <c r="D124" s="155"/>
      <c r="E124" s="155">
        <f>2750*4</f>
        <v>11000</v>
      </c>
      <c r="F124" s="174">
        <v>4</v>
      </c>
      <c r="G124" s="155">
        <v>12760</v>
      </c>
      <c r="H124" s="155" t="s">
        <v>1653</v>
      </c>
      <c r="I124" s="155" t="s">
        <v>1065</v>
      </c>
      <c r="J124" s="155"/>
      <c r="K124" s="155"/>
      <c r="L124" s="174"/>
      <c r="M124" s="142"/>
      <c r="N124" s="155"/>
      <c r="O124" s="155"/>
    </row>
    <row r="125" spans="1:15" s="199" customFormat="1" x14ac:dyDescent="0.4">
      <c r="A125" t="s">
        <v>1637</v>
      </c>
      <c r="B125" s="175"/>
      <c r="C125" s="175" t="s">
        <v>1424</v>
      </c>
      <c r="D125" s="175"/>
      <c r="E125" s="175">
        <v>29500</v>
      </c>
      <c r="F125" s="149">
        <v>7</v>
      </c>
      <c r="G125" s="175">
        <v>20880</v>
      </c>
      <c r="H125" s="197">
        <v>46086</v>
      </c>
      <c r="I125" s="175" t="s">
        <v>1065</v>
      </c>
      <c r="J125" s="175"/>
      <c r="K125" s="339" t="s">
        <v>1708</v>
      </c>
      <c r="L125" s="149"/>
      <c r="M125" s="198"/>
      <c r="N125" s="175"/>
      <c r="O125" s="175"/>
    </row>
    <row r="126" spans="1:15" s="199" customFormat="1" x14ac:dyDescent="0.4">
      <c r="A126" t="s">
        <v>1638</v>
      </c>
      <c r="B126" s="197"/>
      <c r="C126" s="197">
        <v>46329</v>
      </c>
      <c r="D126" s="175"/>
      <c r="E126" s="175">
        <v>29500</v>
      </c>
      <c r="F126" s="149">
        <v>2</v>
      </c>
      <c r="G126" s="175"/>
      <c r="H126" s="175"/>
      <c r="I126" s="175"/>
      <c r="J126" s="175"/>
      <c r="K126" s="175"/>
      <c r="L126" s="149"/>
      <c r="M126" s="198"/>
      <c r="N126" s="175"/>
      <c r="O126" s="175"/>
    </row>
    <row r="127" spans="1:15" s="178" customFormat="1" x14ac:dyDescent="0.4">
      <c r="A127" s="310" t="s">
        <v>1585</v>
      </c>
      <c r="B127" s="155"/>
      <c r="C127" s="177">
        <v>46148</v>
      </c>
      <c r="D127" s="155"/>
      <c r="E127" s="155">
        <v>1700</v>
      </c>
      <c r="F127" s="329">
        <v>1</v>
      </c>
      <c r="G127" s="155"/>
      <c r="H127" s="177"/>
      <c r="I127" s="155"/>
      <c r="J127" s="329"/>
      <c r="K127" s="330"/>
      <c r="L127" s="329"/>
      <c r="M127" s="331"/>
    </row>
    <row r="128" spans="1:15" s="199" customFormat="1" x14ac:dyDescent="0.4">
      <c r="A128" t="s">
        <v>1638</v>
      </c>
      <c r="B128" s="197"/>
      <c r="C128" s="197">
        <v>46179</v>
      </c>
      <c r="D128" s="175"/>
      <c r="E128" s="175">
        <v>16000</v>
      </c>
      <c r="F128" s="149">
        <v>1</v>
      </c>
      <c r="G128" s="175">
        <v>29500</v>
      </c>
      <c r="H128" s="175" t="s">
        <v>1662</v>
      </c>
      <c r="I128" s="175" t="s">
        <v>1065</v>
      </c>
      <c r="J128" s="175"/>
      <c r="K128" s="175"/>
      <c r="L128" s="149"/>
      <c r="M128" s="198"/>
      <c r="N128" s="175"/>
      <c r="O128" s="175"/>
    </row>
    <row r="129" spans="1:26" s="165" customFormat="1" x14ac:dyDescent="0.4">
      <c r="A129" s="249" t="s">
        <v>1698</v>
      </c>
      <c r="B129" s="175"/>
      <c r="C129" s="197" t="s">
        <v>1667</v>
      </c>
      <c r="D129" s="152"/>
      <c r="E129" s="152">
        <f>4750 + 5500</f>
        <v>10250</v>
      </c>
      <c r="F129" s="230">
        <v>2</v>
      </c>
      <c r="G129" s="152"/>
      <c r="H129" s="175" t="s">
        <v>1663</v>
      </c>
      <c r="I129" s="175" t="s">
        <v>1065</v>
      </c>
      <c r="J129" s="230"/>
      <c r="K129" s="231"/>
      <c r="L129" s="230"/>
      <c r="M129" s="232"/>
    </row>
    <row r="130" spans="1:26" s="199" customFormat="1" x14ac:dyDescent="0.4">
      <c r="A130" s="308" t="s">
        <v>828</v>
      </c>
      <c r="B130" s="235" t="s">
        <v>829</v>
      </c>
      <c r="C130" s="235" t="s">
        <v>830</v>
      </c>
      <c r="D130" s="235" t="s">
        <v>831</v>
      </c>
      <c r="E130" s="235" t="s">
        <v>817</v>
      </c>
      <c r="F130" s="233" t="s">
        <v>878</v>
      </c>
      <c r="G130" s="233" t="s">
        <v>833</v>
      </c>
      <c r="H130" s="235" t="s">
        <v>819</v>
      </c>
      <c r="I130" s="235" t="s">
        <v>876</v>
      </c>
      <c r="J130" s="233" t="s">
        <v>872</v>
      </c>
      <c r="K130" s="233"/>
      <c r="L130" s="233" t="s">
        <v>877</v>
      </c>
      <c r="M130" s="205"/>
      <c r="N130" s="235" t="s">
        <v>69</v>
      </c>
      <c r="O130" s="235" t="s">
        <v>834</v>
      </c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spans="1:26" s="165" customFormat="1" x14ac:dyDescent="0.4">
      <c r="A131" s="311"/>
      <c r="B131" s="172"/>
      <c r="C131" s="172"/>
      <c r="D131" s="172"/>
      <c r="E131" s="172"/>
      <c r="F131" s="162"/>
      <c r="G131" s="172"/>
      <c r="H131" s="172"/>
      <c r="I131" s="172"/>
      <c r="J131" s="162"/>
      <c r="K131" s="17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spans="1:26" x14ac:dyDescent="0.4">
      <c r="B132" s="162"/>
      <c r="C132" s="162"/>
    </row>
    <row r="133" spans="1:26" x14ac:dyDescent="0.4">
      <c r="M133" s="162">
        <v>16</v>
      </c>
    </row>
  </sheetData>
  <autoFilter ref="A1:Z130"/>
  <hyperlinks>
    <hyperlink ref="K123" r:id="rId1"/>
    <hyperlink ref="K110" r:id="rId2"/>
    <hyperlink ref="K108" r:id="rId3"/>
    <hyperlink ref="K114" r:id="rId4"/>
    <hyperlink ref="K116" r:id="rId5"/>
    <hyperlink ref="K125" r:id="rId6"/>
  </hyperlinks>
  <pageMargins left="0.7" right="0.7" top="0.75" bottom="0.75" header="0.3" footer="0.3"/>
  <pageSetup orientation="portrait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ColWidth="9.1796875" defaultRowHeight="17" x14ac:dyDescent="0.4"/>
  <cols>
    <col min="1" max="1" width="52.1796875" style="311" customWidth="1"/>
    <col min="2" max="2" width="15.7265625" style="172" bestFit="1" customWidth="1"/>
    <col min="3" max="3" width="13.54296875" style="172" customWidth="1"/>
    <col min="4" max="4" width="11.453125" style="172" customWidth="1"/>
    <col min="5" max="5" width="11.453125" style="172" bestFit="1" customWidth="1"/>
    <col min="6" max="6" width="9.1796875" style="162"/>
    <col min="7" max="8" width="14" style="172" customWidth="1"/>
    <col min="9" max="9" width="13.81640625" style="172" bestFit="1" customWidth="1"/>
    <col min="10" max="10" width="13.54296875" style="172" bestFit="1" customWidth="1"/>
    <col min="11" max="11" width="14.453125" style="162" customWidth="1"/>
    <col min="12" max="12" width="29.54296875" style="172" bestFit="1" customWidth="1"/>
    <col min="13" max="13" width="17.54296875" style="162" bestFit="1" customWidth="1"/>
    <col min="14" max="14" width="20.1796875" style="162" bestFit="1" customWidth="1"/>
    <col min="15" max="16384" width="9.1796875" style="162"/>
  </cols>
  <sheetData>
    <row r="1" spans="1:16" s="159" customFormat="1" ht="17.25" x14ac:dyDescent="0.3">
      <c r="A1" s="303" t="s">
        <v>188</v>
      </c>
      <c r="B1" s="144" t="s">
        <v>815</v>
      </c>
      <c r="C1" s="144" t="s">
        <v>816</v>
      </c>
      <c r="D1" s="144" t="s">
        <v>891</v>
      </c>
      <c r="E1" s="144" t="s">
        <v>817</v>
      </c>
      <c r="F1" s="143" t="s">
        <v>878</v>
      </c>
      <c r="G1" s="144" t="s">
        <v>1038</v>
      </c>
      <c r="H1" s="144" t="s">
        <v>1759</v>
      </c>
      <c r="I1" s="144" t="s">
        <v>1037</v>
      </c>
      <c r="J1" s="144" t="s">
        <v>1036</v>
      </c>
      <c r="K1" s="143" t="s">
        <v>872</v>
      </c>
      <c r="L1" s="144" t="s">
        <v>1040</v>
      </c>
      <c r="M1" s="143" t="s">
        <v>881</v>
      </c>
      <c r="N1" s="143" t="s">
        <v>879</v>
      </c>
      <c r="O1" s="158" t="s">
        <v>899</v>
      </c>
      <c r="P1" s="158"/>
    </row>
    <row r="2" spans="1:16" s="51" customFormat="1" ht="18.75" x14ac:dyDescent="0.3">
      <c r="A2" s="249" t="s">
        <v>0</v>
      </c>
      <c r="B2" s="152">
        <v>7299917887</v>
      </c>
      <c r="C2" s="152" t="s">
        <v>860</v>
      </c>
      <c r="D2" s="152">
        <v>21300</v>
      </c>
      <c r="E2" s="152">
        <v>21300</v>
      </c>
      <c r="F2" s="205">
        <v>17</v>
      </c>
      <c r="G2" s="173"/>
      <c r="H2" s="173"/>
      <c r="I2" s="221"/>
      <c r="J2" s="152"/>
      <c r="K2" s="332">
        <v>191</v>
      </c>
      <c r="L2" s="152" t="s">
        <v>1561</v>
      </c>
      <c r="M2" s="74"/>
      <c r="N2" s="205" t="s">
        <v>1542</v>
      </c>
      <c r="O2" s="205"/>
      <c r="P2" s="205"/>
    </row>
    <row r="3" spans="1:16" s="220" customFormat="1" ht="17.25" x14ac:dyDescent="0.3">
      <c r="A3" s="304" t="s">
        <v>36</v>
      </c>
      <c r="B3" s="195">
        <v>7904401435</v>
      </c>
      <c r="C3" s="152" t="s">
        <v>44</v>
      </c>
      <c r="D3" s="195">
        <v>1750</v>
      </c>
      <c r="E3" s="195">
        <v>1750</v>
      </c>
      <c r="F3" s="218">
        <v>1</v>
      </c>
      <c r="G3" s="195"/>
      <c r="H3" s="195"/>
      <c r="I3" s="195"/>
      <c r="J3" s="195"/>
      <c r="K3" s="218"/>
      <c r="L3" s="183"/>
      <c r="M3" s="218"/>
      <c r="N3" s="219">
        <v>1750</v>
      </c>
      <c r="O3" s="218"/>
      <c r="P3" s="218"/>
    </row>
    <row r="4" spans="1:16" s="220" customFormat="1" ht="17.25" x14ac:dyDescent="0.3">
      <c r="A4" s="304" t="s">
        <v>1642</v>
      </c>
      <c r="B4" s="195">
        <v>9840940298</v>
      </c>
      <c r="C4" s="222">
        <v>45780</v>
      </c>
      <c r="D4" s="222"/>
      <c r="E4" s="195">
        <v>3000</v>
      </c>
      <c r="F4" s="218">
        <v>1</v>
      </c>
      <c r="G4" s="195">
        <v>3000</v>
      </c>
      <c r="H4" s="195"/>
      <c r="I4" s="222" t="s">
        <v>1756</v>
      </c>
      <c r="J4" s="195" t="s">
        <v>47</v>
      </c>
      <c r="K4" s="218"/>
      <c r="L4" s="183"/>
      <c r="M4" s="218"/>
      <c r="N4" s="219"/>
      <c r="O4" s="218"/>
      <c r="P4" s="218"/>
    </row>
    <row r="5" spans="1:16" s="165" customFormat="1" ht="17.25" x14ac:dyDescent="0.3">
      <c r="A5" s="249" t="s">
        <v>248</v>
      </c>
      <c r="B5" s="152">
        <v>7550283099</v>
      </c>
      <c r="C5" s="152" t="s">
        <v>44</v>
      </c>
      <c r="D5" s="152">
        <v>6800</v>
      </c>
      <c r="E5" s="152">
        <v>6800</v>
      </c>
      <c r="F5" s="157">
        <v>4</v>
      </c>
      <c r="G5" s="147"/>
      <c r="H5" s="147"/>
      <c r="I5" s="221"/>
      <c r="J5" s="152"/>
      <c r="K5" s="157"/>
      <c r="L5" s="152"/>
      <c r="M5" s="157"/>
      <c r="N5" s="205" t="s">
        <v>944</v>
      </c>
      <c r="O5" s="157"/>
      <c r="P5" s="157"/>
    </row>
    <row r="6" spans="1:16" s="51" customFormat="1" ht="18.75" x14ac:dyDescent="0.3">
      <c r="A6" s="249" t="s">
        <v>1643</v>
      </c>
      <c r="B6" s="152">
        <v>7904622354</v>
      </c>
      <c r="C6" s="152" t="s">
        <v>46</v>
      </c>
      <c r="D6" s="152"/>
      <c r="E6" s="152">
        <v>3000</v>
      </c>
      <c r="F6" s="205">
        <v>1</v>
      </c>
      <c r="G6" s="152"/>
      <c r="H6" s="152"/>
      <c r="I6" s="221"/>
      <c r="J6" s="152"/>
      <c r="K6" s="74"/>
      <c r="L6" s="152"/>
      <c r="M6" s="74"/>
      <c r="N6" s="205">
        <v>3000</v>
      </c>
      <c r="O6" s="205"/>
      <c r="P6" s="205"/>
    </row>
    <row r="7" spans="1:16" s="220" customFormat="1" ht="17.25" x14ac:dyDescent="0.3">
      <c r="A7" s="304" t="s">
        <v>60</v>
      </c>
      <c r="B7" s="195">
        <v>8925124442</v>
      </c>
      <c r="C7" s="222">
        <v>45661</v>
      </c>
      <c r="D7" s="195">
        <v>1500</v>
      </c>
      <c r="E7" s="195">
        <v>1500</v>
      </c>
      <c r="F7" s="218">
        <v>1</v>
      </c>
      <c r="G7" s="195"/>
      <c r="H7" s="195"/>
      <c r="I7" s="222"/>
      <c r="J7" s="195"/>
      <c r="K7" s="223"/>
      <c r="L7" s="183"/>
      <c r="M7" s="218"/>
      <c r="N7" s="205">
        <v>1500</v>
      </c>
      <c r="O7" s="218"/>
      <c r="P7" s="218"/>
    </row>
    <row r="8" spans="1:16" s="165" customFormat="1" ht="17.25" x14ac:dyDescent="0.3">
      <c r="A8" s="249" t="s">
        <v>1641</v>
      </c>
      <c r="B8" s="152">
        <v>8148141825</v>
      </c>
      <c r="C8" s="152" t="s">
        <v>106</v>
      </c>
      <c r="D8" s="152">
        <v>5000</v>
      </c>
      <c r="E8" s="195">
        <v>5000</v>
      </c>
      <c r="F8" s="157">
        <v>3</v>
      </c>
      <c r="G8" s="147"/>
      <c r="H8" s="147"/>
      <c r="I8" s="221"/>
      <c r="J8" s="152"/>
      <c r="K8" s="157"/>
      <c r="L8" s="152"/>
      <c r="M8" s="157"/>
      <c r="N8" s="205" t="s">
        <v>945</v>
      </c>
      <c r="O8" s="157"/>
      <c r="P8" s="157"/>
    </row>
    <row r="9" spans="1:16" s="51" customFormat="1" ht="18.75" x14ac:dyDescent="0.3">
      <c r="A9" s="249" t="s">
        <v>160</v>
      </c>
      <c r="B9" s="152">
        <v>8825663180</v>
      </c>
      <c r="C9" s="152" t="s">
        <v>161</v>
      </c>
      <c r="D9" s="152"/>
      <c r="E9" s="152">
        <v>1750</v>
      </c>
      <c r="F9" s="157">
        <v>1</v>
      </c>
      <c r="G9" s="147"/>
      <c r="H9" s="147"/>
      <c r="I9" s="152"/>
      <c r="J9" s="152"/>
      <c r="K9" s="74"/>
      <c r="L9" s="152"/>
      <c r="M9" s="74"/>
      <c r="N9" s="205">
        <v>1750</v>
      </c>
      <c r="O9" s="205"/>
      <c r="P9" s="205"/>
    </row>
    <row r="10" spans="1:16" s="51" customFormat="1" ht="18.75" x14ac:dyDescent="0.3">
      <c r="A10" s="249" t="s">
        <v>7</v>
      </c>
      <c r="B10" s="152">
        <v>9840168557</v>
      </c>
      <c r="C10" s="152" t="s">
        <v>1075</v>
      </c>
      <c r="D10" s="152"/>
      <c r="E10" s="152">
        <v>4000</v>
      </c>
      <c r="F10" s="205">
        <v>2</v>
      </c>
      <c r="G10" s="147"/>
      <c r="H10" s="147"/>
      <c r="I10" s="152"/>
      <c r="J10" s="152"/>
      <c r="K10" s="74"/>
      <c r="L10" s="152"/>
      <c r="M10" s="74"/>
      <c r="N10" s="205">
        <v>2000</v>
      </c>
      <c r="O10" s="205"/>
      <c r="P10" s="205"/>
    </row>
    <row r="11" spans="1:16" s="165" customFormat="1" ht="17.25" x14ac:dyDescent="0.3">
      <c r="A11" s="249" t="s">
        <v>266</v>
      </c>
      <c r="B11" s="152">
        <v>6385458304</v>
      </c>
      <c r="C11" s="152" t="s">
        <v>259</v>
      </c>
      <c r="D11" s="152">
        <v>2200</v>
      </c>
      <c r="E11" s="152">
        <v>2200</v>
      </c>
      <c r="F11" s="205">
        <v>1</v>
      </c>
      <c r="G11" s="147"/>
      <c r="H11" s="147"/>
      <c r="I11" s="152"/>
      <c r="J11" s="152"/>
      <c r="K11" s="157"/>
      <c r="L11" s="152"/>
      <c r="M11" s="157"/>
      <c r="N11" s="205">
        <v>2200</v>
      </c>
      <c r="O11" s="157"/>
      <c r="P11" s="157"/>
    </row>
    <row r="12" spans="1:16" s="51" customFormat="1" ht="18.75" x14ac:dyDescent="0.3">
      <c r="A12" s="249" t="s">
        <v>1644</v>
      </c>
      <c r="B12" s="152">
        <v>9791050538</v>
      </c>
      <c r="C12" s="152" t="s">
        <v>279</v>
      </c>
      <c r="D12" s="152"/>
      <c r="E12" s="152">
        <v>3400</v>
      </c>
      <c r="F12" s="205">
        <v>1</v>
      </c>
      <c r="G12" s="147"/>
      <c r="H12" s="147"/>
      <c r="I12" s="221"/>
      <c r="J12" s="152"/>
      <c r="K12" s="224"/>
      <c r="L12" s="152"/>
      <c r="M12" s="74"/>
      <c r="N12" s="205">
        <v>3400</v>
      </c>
      <c r="O12" s="205"/>
      <c r="P12" s="205"/>
    </row>
    <row r="13" spans="1:16" s="227" customFormat="1" ht="17.25" x14ac:dyDescent="0.3">
      <c r="A13" s="226" t="s">
        <v>767</v>
      </c>
      <c r="B13" s="147">
        <v>8925023082</v>
      </c>
      <c r="C13" s="147" t="s">
        <v>294</v>
      </c>
      <c r="D13" s="147"/>
      <c r="E13" s="147"/>
      <c r="F13" s="225">
        <v>4</v>
      </c>
      <c r="G13" s="147"/>
      <c r="H13" s="147"/>
      <c r="I13" s="147"/>
      <c r="J13" s="147"/>
      <c r="K13" s="226"/>
      <c r="L13" s="147" t="s">
        <v>822</v>
      </c>
      <c r="M13" s="225"/>
      <c r="N13" s="205">
        <v>2100</v>
      </c>
      <c r="O13" s="225"/>
      <c r="P13" s="225"/>
    </row>
    <row r="14" spans="1:16" s="165" customFormat="1" ht="17.25" x14ac:dyDescent="0.3">
      <c r="A14" s="249" t="s">
        <v>330</v>
      </c>
      <c r="B14" s="152">
        <v>9884664943</v>
      </c>
      <c r="C14" s="152" t="s">
        <v>329</v>
      </c>
      <c r="D14" s="152">
        <v>2000</v>
      </c>
      <c r="E14" s="152">
        <v>2000</v>
      </c>
      <c r="F14" s="157">
        <v>1</v>
      </c>
      <c r="G14" s="152"/>
      <c r="H14" s="152"/>
      <c r="I14" s="221"/>
      <c r="J14" s="152"/>
      <c r="K14" s="157"/>
      <c r="L14" s="152"/>
      <c r="M14" s="157"/>
      <c r="N14" s="205">
        <v>2000</v>
      </c>
      <c r="O14" s="157"/>
      <c r="P14" s="157"/>
    </row>
    <row r="15" spans="1:16" s="51" customFormat="1" ht="18.75" x14ac:dyDescent="0.3">
      <c r="A15" s="249" t="s">
        <v>1588</v>
      </c>
      <c r="B15" s="152">
        <v>9940440423</v>
      </c>
      <c r="C15" s="152" t="s">
        <v>337</v>
      </c>
      <c r="D15" s="152"/>
      <c r="E15" s="152">
        <v>1800</v>
      </c>
      <c r="F15" s="205">
        <v>1</v>
      </c>
      <c r="G15" s="147">
        <v>1800</v>
      </c>
      <c r="H15" s="147"/>
      <c r="I15" s="221">
        <v>46210</v>
      </c>
      <c r="J15" s="152" t="s">
        <v>880</v>
      </c>
      <c r="K15" s="74"/>
      <c r="L15" s="152"/>
      <c r="M15" s="74"/>
      <c r="N15" s="205">
        <v>1800</v>
      </c>
      <c r="O15" s="205"/>
      <c r="P15" s="205"/>
    </row>
    <row r="16" spans="1:16" s="165" customFormat="1" ht="17.25" x14ac:dyDescent="0.3">
      <c r="A16" s="249" t="s">
        <v>349</v>
      </c>
      <c r="B16" s="152">
        <v>9884873355</v>
      </c>
      <c r="C16" s="152" t="s">
        <v>353</v>
      </c>
      <c r="D16" s="152">
        <v>23162</v>
      </c>
      <c r="E16" s="152">
        <v>4600</v>
      </c>
      <c r="F16" s="157">
        <v>2</v>
      </c>
      <c r="G16" s="147">
        <f>10000</f>
        <v>10000</v>
      </c>
      <c r="H16" s="147"/>
      <c r="I16" s="221">
        <v>46029</v>
      </c>
      <c r="J16" s="152" t="s">
        <v>47</v>
      </c>
      <c r="K16" s="157"/>
      <c r="L16" s="152"/>
      <c r="M16" s="157"/>
      <c r="N16" s="205" t="s">
        <v>946</v>
      </c>
      <c r="O16" s="157"/>
      <c r="P16" s="157"/>
    </row>
    <row r="17" spans="1:27" s="165" customFormat="1" ht="17.25" x14ac:dyDescent="0.3">
      <c r="A17" s="249" t="s">
        <v>1640</v>
      </c>
      <c r="B17" s="152">
        <v>9042264206</v>
      </c>
      <c r="C17" s="152" t="s">
        <v>351</v>
      </c>
      <c r="D17" s="152">
        <v>4250</v>
      </c>
      <c r="E17" s="152">
        <v>4250</v>
      </c>
      <c r="F17" s="157">
        <v>1</v>
      </c>
      <c r="G17" s="147"/>
      <c r="H17" s="147"/>
      <c r="I17" s="152"/>
      <c r="J17" s="152"/>
      <c r="K17" s="157"/>
      <c r="L17" s="152"/>
      <c r="M17" s="157" t="s">
        <v>882</v>
      </c>
      <c r="N17" s="205">
        <v>4250</v>
      </c>
      <c r="O17" s="157"/>
      <c r="P17" s="157"/>
    </row>
    <row r="18" spans="1:27" s="51" customFormat="1" ht="18.75" x14ac:dyDescent="0.3">
      <c r="A18" s="249" t="s">
        <v>993</v>
      </c>
      <c r="B18" s="152">
        <v>8870042240</v>
      </c>
      <c r="C18" s="152" t="s">
        <v>399</v>
      </c>
      <c r="D18" s="152">
        <v>3500</v>
      </c>
      <c r="E18" s="152">
        <v>3500</v>
      </c>
      <c r="F18" s="205">
        <v>1</v>
      </c>
      <c r="G18" s="147"/>
      <c r="H18" s="147"/>
      <c r="I18" s="152"/>
      <c r="J18" s="152"/>
      <c r="K18" s="74"/>
      <c r="L18" s="152"/>
      <c r="M18" s="74"/>
      <c r="N18" s="205">
        <v>3500</v>
      </c>
      <c r="O18" s="205"/>
      <c r="P18" s="205"/>
    </row>
    <row r="19" spans="1:27" s="51" customFormat="1" ht="17.25" x14ac:dyDescent="0.3">
      <c r="A19" s="249" t="s">
        <v>979</v>
      </c>
      <c r="B19" s="152">
        <v>9032291673</v>
      </c>
      <c r="C19" s="152" t="s">
        <v>389</v>
      </c>
      <c r="D19" s="152"/>
      <c r="E19" s="152">
        <v>1600</v>
      </c>
      <c r="F19" s="228">
        <v>1</v>
      </c>
      <c r="G19" s="147"/>
      <c r="H19" s="147"/>
      <c r="I19" s="152"/>
      <c r="J19" s="152"/>
      <c r="K19" s="228"/>
      <c r="L19" s="152"/>
      <c r="M19" s="228"/>
      <c r="N19" s="205">
        <v>1600</v>
      </c>
      <c r="O19" s="205"/>
      <c r="P19" s="205"/>
    </row>
    <row r="20" spans="1:27" s="51" customFormat="1" ht="17.25" x14ac:dyDescent="0.3">
      <c r="A20" s="249" t="s">
        <v>991</v>
      </c>
      <c r="B20" s="152">
        <v>7904409817</v>
      </c>
      <c r="C20" s="152" t="s">
        <v>474</v>
      </c>
      <c r="D20" s="152"/>
      <c r="E20" s="152">
        <v>4500</v>
      </c>
      <c r="F20" s="228">
        <v>1</v>
      </c>
      <c r="G20" s="152">
        <v>4500</v>
      </c>
      <c r="H20" s="152"/>
      <c r="I20" s="221" t="s">
        <v>1754</v>
      </c>
      <c r="J20" s="152" t="s">
        <v>880</v>
      </c>
      <c r="K20" s="228"/>
      <c r="L20" s="152"/>
      <c r="M20" s="228" t="s">
        <v>883</v>
      </c>
      <c r="N20" s="205">
        <v>4500</v>
      </c>
      <c r="O20" s="205"/>
      <c r="P20" s="205"/>
    </row>
    <row r="21" spans="1:27" s="227" customFormat="1" x14ac:dyDescent="0.4">
      <c r="A21" s="226" t="s">
        <v>473</v>
      </c>
      <c r="B21" s="147">
        <v>9566059846</v>
      </c>
      <c r="C21" s="147" t="s">
        <v>474</v>
      </c>
      <c r="D21" s="147">
        <v>8000</v>
      </c>
      <c r="E21" s="147">
        <v>1600</v>
      </c>
      <c r="F21" s="225">
        <v>1</v>
      </c>
      <c r="G21" s="147"/>
      <c r="H21" s="147"/>
      <c r="I21" s="147"/>
      <c r="J21" s="147"/>
      <c r="K21" s="317"/>
      <c r="L21" s="154" t="s">
        <v>822</v>
      </c>
      <c r="M21" s="225"/>
      <c r="N21" s="318">
        <v>1700</v>
      </c>
      <c r="O21" s="225"/>
      <c r="P21" s="225"/>
    </row>
    <row r="22" spans="1:27" s="165" customFormat="1" x14ac:dyDescent="0.4">
      <c r="A22" s="249" t="s">
        <v>1484</v>
      </c>
      <c r="B22" s="152">
        <v>9791101009</v>
      </c>
      <c r="C22" s="152" t="s">
        <v>522</v>
      </c>
      <c r="D22" s="152"/>
      <c r="E22" s="152">
        <v>1700</v>
      </c>
      <c r="F22" s="157">
        <v>1</v>
      </c>
      <c r="G22" s="152"/>
      <c r="H22" s="152"/>
      <c r="I22" s="152"/>
      <c r="J22" s="152"/>
      <c r="K22" s="157"/>
      <c r="L22" s="152"/>
      <c r="M22" s="157"/>
      <c r="N22" s="205">
        <v>1700</v>
      </c>
      <c r="O22" s="157"/>
      <c r="P22" s="157"/>
    </row>
    <row r="23" spans="1:27" s="165" customFormat="1" ht="18.5" x14ac:dyDescent="0.45">
      <c r="A23" s="249" t="s">
        <v>1365</v>
      </c>
      <c r="B23" s="152">
        <v>9003517441</v>
      </c>
      <c r="C23" s="152" t="s">
        <v>525</v>
      </c>
      <c r="D23" s="152">
        <v>7500</v>
      </c>
      <c r="E23" s="152">
        <v>3500</v>
      </c>
      <c r="F23" s="205">
        <v>1</v>
      </c>
      <c r="G23" s="152"/>
      <c r="H23" s="152"/>
      <c r="I23" s="221"/>
      <c r="J23" s="152"/>
      <c r="K23" s="74"/>
      <c r="L23" s="152"/>
      <c r="M23" s="74" t="s">
        <v>884</v>
      </c>
      <c r="N23" s="205">
        <v>3500</v>
      </c>
      <c r="O23" s="205"/>
      <c r="P23" s="205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s="51" customFormat="1" ht="18.5" x14ac:dyDescent="0.45">
      <c r="A24" s="249" t="s">
        <v>543</v>
      </c>
      <c r="B24" s="152">
        <v>9884690348</v>
      </c>
      <c r="C24" s="152" t="s">
        <v>521</v>
      </c>
      <c r="D24" s="152">
        <v>1300</v>
      </c>
      <c r="E24" s="152">
        <v>650</v>
      </c>
      <c r="F24" s="205">
        <v>2</v>
      </c>
      <c r="G24" s="152"/>
      <c r="H24" s="152"/>
      <c r="I24" s="152"/>
      <c r="J24" s="152"/>
      <c r="K24" s="74"/>
      <c r="L24" s="152"/>
      <c r="M24" s="74" t="s">
        <v>885</v>
      </c>
      <c r="N24" s="205" t="s">
        <v>886</v>
      </c>
      <c r="O24" s="205"/>
      <c r="P24" s="205"/>
    </row>
    <row r="25" spans="1:27" s="51" customFormat="1" ht="18.5" x14ac:dyDescent="0.45">
      <c r="A25" s="249" t="s">
        <v>638</v>
      </c>
      <c r="B25" s="152">
        <v>7397264637</v>
      </c>
      <c r="C25" s="152" t="s">
        <v>637</v>
      </c>
      <c r="D25" s="152"/>
      <c r="E25" s="152">
        <v>1700</v>
      </c>
      <c r="F25" s="205">
        <v>1</v>
      </c>
      <c r="G25" s="152"/>
      <c r="H25" s="152"/>
      <c r="I25" s="152"/>
      <c r="J25" s="152"/>
      <c r="K25" s="74"/>
      <c r="L25" s="152"/>
      <c r="M25" s="74"/>
      <c r="N25" s="205"/>
      <c r="O25" s="205"/>
      <c r="P25" s="205"/>
    </row>
    <row r="26" spans="1:27" s="51" customFormat="1" ht="18.5" x14ac:dyDescent="0.45">
      <c r="A26" s="249" t="s">
        <v>1531</v>
      </c>
      <c r="B26" s="152">
        <v>7200151287</v>
      </c>
      <c r="C26" s="152" t="s">
        <v>1428</v>
      </c>
      <c r="D26" s="152">
        <v>11000</v>
      </c>
      <c r="E26" s="152">
        <v>2250</v>
      </c>
      <c r="F26" s="205">
        <v>2</v>
      </c>
      <c r="G26" s="152"/>
      <c r="H26" s="152"/>
      <c r="I26" s="152"/>
      <c r="J26" s="152"/>
      <c r="K26" s="74"/>
      <c r="L26" s="152"/>
      <c r="M26" s="74"/>
      <c r="N26" s="205"/>
      <c r="O26" s="205"/>
      <c r="P26" s="205"/>
    </row>
    <row r="27" spans="1:27" s="290" customFormat="1" ht="18.5" x14ac:dyDescent="0.45">
      <c r="A27" s="301" t="s">
        <v>1732</v>
      </c>
      <c r="B27" s="175">
        <v>984004024</v>
      </c>
      <c r="C27" s="175" t="s">
        <v>1076</v>
      </c>
      <c r="D27" s="175"/>
      <c r="E27" s="175">
        <f>1600+12250</f>
        <v>13850</v>
      </c>
      <c r="F27" s="198">
        <v>3</v>
      </c>
      <c r="G27" s="175"/>
      <c r="H27" s="175"/>
      <c r="I27" s="175"/>
      <c r="J27" s="175"/>
      <c r="K27" s="8"/>
      <c r="L27" s="175"/>
      <c r="M27" s="8"/>
      <c r="N27" s="198" t="s">
        <v>888</v>
      </c>
      <c r="O27" s="198"/>
      <c r="P27" s="198"/>
    </row>
    <row r="28" spans="1:27" s="290" customFormat="1" ht="18.5" x14ac:dyDescent="0.45">
      <c r="A28" s="301" t="s">
        <v>1447</v>
      </c>
      <c r="B28" s="175">
        <v>9003920837</v>
      </c>
      <c r="C28" s="175" t="s">
        <v>712</v>
      </c>
      <c r="D28" s="175"/>
      <c r="E28" s="175">
        <v>1800</v>
      </c>
      <c r="F28" s="198">
        <v>1</v>
      </c>
      <c r="G28" s="175">
        <v>1800</v>
      </c>
      <c r="H28" s="175"/>
      <c r="I28" s="197" t="s">
        <v>1754</v>
      </c>
      <c r="J28" s="175" t="s">
        <v>47</v>
      </c>
      <c r="K28" s="8"/>
      <c r="L28" s="175"/>
      <c r="M28" s="8"/>
      <c r="N28" s="198"/>
      <c r="O28" s="198"/>
      <c r="P28" s="198"/>
    </row>
    <row r="29" spans="1:27" s="290" customFormat="1" ht="18.5" x14ac:dyDescent="0.45">
      <c r="A29" s="301" t="s">
        <v>1639</v>
      </c>
      <c r="B29" s="175">
        <v>7305272310</v>
      </c>
      <c r="C29" s="152" t="s">
        <v>727</v>
      </c>
      <c r="D29" s="175">
        <v>8000</v>
      </c>
      <c r="E29" s="175">
        <v>6000</v>
      </c>
      <c r="F29" s="198">
        <v>1</v>
      </c>
      <c r="G29" s="175"/>
      <c r="H29" s="175"/>
      <c r="I29" s="175"/>
      <c r="J29" s="175"/>
      <c r="K29" s="8"/>
      <c r="L29" s="175"/>
      <c r="M29" s="8"/>
      <c r="N29" s="198"/>
      <c r="O29" s="198"/>
      <c r="P29" s="198"/>
    </row>
    <row r="30" spans="1:27" s="51" customFormat="1" ht="18.5" x14ac:dyDescent="0.45">
      <c r="A30" s="249" t="s">
        <v>735</v>
      </c>
      <c r="B30" s="152">
        <v>9789308646</v>
      </c>
      <c r="C30" s="152" t="s">
        <v>734</v>
      </c>
      <c r="D30" s="152"/>
      <c r="E30" s="152">
        <v>1800</v>
      </c>
      <c r="F30" s="205">
        <v>1</v>
      </c>
      <c r="G30" s="152"/>
      <c r="H30" s="152"/>
      <c r="I30" s="152"/>
      <c r="J30" s="152"/>
      <c r="K30" s="74"/>
      <c r="L30" s="152"/>
      <c r="M30" s="74"/>
      <c r="N30" s="205"/>
      <c r="O30" s="205"/>
      <c r="P30" s="205"/>
    </row>
    <row r="31" spans="1:27" s="51" customFormat="1" ht="18.5" x14ac:dyDescent="0.45">
      <c r="A31" s="249" t="s">
        <v>904</v>
      </c>
      <c r="B31" s="152">
        <v>8838432039</v>
      </c>
      <c r="C31" s="152" t="s">
        <v>737</v>
      </c>
      <c r="D31" s="152">
        <v>1600</v>
      </c>
      <c r="E31" s="152">
        <v>1600</v>
      </c>
      <c r="F31" s="205">
        <v>1</v>
      </c>
      <c r="G31" s="152"/>
      <c r="H31" s="152"/>
      <c r="I31" s="152"/>
      <c r="J31" s="152"/>
      <c r="K31" s="74"/>
      <c r="L31" s="152"/>
      <c r="M31" s="74"/>
      <c r="N31" s="205"/>
      <c r="O31" s="205"/>
      <c r="P31" s="205"/>
    </row>
    <row r="32" spans="1:27" s="51" customFormat="1" ht="18.5" x14ac:dyDescent="0.45">
      <c r="A32" s="249" t="s">
        <v>738</v>
      </c>
      <c r="B32" s="152">
        <v>9629322643</v>
      </c>
      <c r="C32" s="152" t="s">
        <v>737</v>
      </c>
      <c r="D32" s="152"/>
      <c r="E32" s="152">
        <v>2000</v>
      </c>
      <c r="F32" s="205">
        <v>1</v>
      </c>
      <c r="G32" s="152"/>
      <c r="H32" s="152"/>
      <c r="I32" s="152"/>
      <c r="J32" s="152"/>
      <c r="K32" s="74"/>
      <c r="L32" s="152"/>
      <c r="M32" s="74"/>
      <c r="N32" s="205"/>
      <c r="O32" s="205"/>
      <c r="P32" s="205"/>
    </row>
    <row r="33" spans="1:27" s="165" customFormat="1" x14ac:dyDescent="0.4">
      <c r="A33" s="249" t="s">
        <v>764</v>
      </c>
      <c r="B33" s="152">
        <v>9677015136</v>
      </c>
      <c r="C33" s="152" t="s">
        <v>753</v>
      </c>
      <c r="D33" s="152"/>
      <c r="E33" s="152">
        <v>20700</v>
      </c>
      <c r="F33" s="157">
        <v>17</v>
      </c>
      <c r="G33" s="152"/>
      <c r="H33" s="152"/>
      <c r="I33" s="221"/>
      <c r="J33" s="152"/>
      <c r="K33" s="157"/>
      <c r="L33" s="152"/>
      <c r="M33" s="157"/>
      <c r="N33" s="205" t="s">
        <v>889</v>
      </c>
      <c r="O33" s="157"/>
      <c r="P33" s="157"/>
    </row>
    <row r="34" spans="1:27" s="165" customFormat="1" x14ac:dyDescent="0.4">
      <c r="A34" s="249" t="s">
        <v>764</v>
      </c>
      <c r="B34" s="152" t="s">
        <v>1758</v>
      </c>
      <c r="C34" s="152" t="s">
        <v>1756</v>
      </c>
      <c r="D34" s="152"/>
      <c r="E34" s="152"/>
      <c r="F34" s="157">
        <v>3</v>
      </c>
      <c r="G34" s="152"/>
      <c r="H34" s="152"/>
      <c r="I34" s="221"/>
      <c r="J34" s="152"/>
      <c r="K34" s="157"/>
      <c r="L34" s="152"/>
      <c r="M34" s="157"/>
      <c r="N34" s="205"/>
      <c r="O34" s="157"/>
      <c r="P34" s="157"/>
    </row>
    <row r="35" spans="1:27" s="51" customFormat="1" ht="18.5" x14ac:dyDescent="0.45">
      <c r="A35" s="249" t="s">
        <v>986</v>
      </c>
      <c r="B35" s="152">
        <v>9489210061</v>
      </c>
      <c r="C35" s="152" t="s">
        <v>613</v>
      </c>
      <c r="D35" s="152"/>
      <c r="E35" s="152">
        <v>3500</v>
      </c>
      <c r="F35" s="205">
        <v>1</v>
      </c>
      <c r="G35" s="152"/>
      <c r="H35" s="152"/>
      <c r="I35" s="152"/>
      <c r="J35" s="152"/>
      <c r="K35" s="74"/>
      <c r="L35" s="152"/>
      <c r="M35" s="74"/>
      <c r="N35" s="205"/>
      <c r="O35" s="205"/>
      <c r="P35" s="205"/>
    </row>
    <row r="36" spans="1:27" s="354" customFormat="1" ht="18.5" x14ac:dyDescent="0.45">
      <c r="A36" s="226" t="s">
        <v>1587</v>
      </c>
      <c r="B36" s="147">
        <v>9500112451</v>
      </c>
      <c r="C36" s="147" t="s">
        <v>788</v>
      </c>
      <c r="D36" s="147"/>
      <c r="E36" s="147">
        <v>2100</v>
      </c>
      <c r="F36" s="318">
        <v>1</v>
      </c>
      <c r="G36" s="147">
        <v>2000</v>
      </c>
      <c r="H36" s="147"/>
      <c r="I36" s="352" t="s">
        <v>1754</v>
      </c>
      <c r="J36" s="147" t="s">
        <v>880</v>
      </c>
      <c r="K36" s="353"/>
      <c r="L36" s="147" t="s">
        <v>822</v>
      </c>
      <c r="M36" s="353"/>
      <c r="N36" s="318"/>
      <c r="O36" s="318"/>
      <c r="P36" s="318"/>
    </row>
    <row r="37" spans="1:27" s="165" customFormat="1" x14ac:dyDescent="0.4">
      <c r="A37" s="249" t="s">
        <v>983</v>
      </c>
      <c r="B37" s="152">
        <v>7868038861</v>
      </c>
      <c r="C37" s="152" t="s">
        <v>964</v>
      </c>
      <c r="D37" s="152"/>
      <c r="E37" s="152">
        <v>5500</v>
      </c>
      <c r="F37" s="157">
        <v>1</v>
      </c>
      <c r="G37" s="152"/>
      <c r="H37" s="152"/>
      <c r="I37" s="221"/>
      <c r="J37" s="152"/>
      <c r="K37" s="157"/>
      <c r="L37" s="152"/>
      <c r="M37" s="157">
        <v>615</v>
      </c>
      <c r="N37" s="157"/>
      <c r="O37" s="152" t="s">
        <v>930</v>
      </c>
      <c r="P37" s="157"/>
    </row>
    <row r="38" spans="1:27" s="165" customFormat="1" x14ac:dyDescent="0.4">
      <c r="A38" s="249" t="s">
        <v>1458</v>
      </c>
      <c r="B38" s="152">
        <v>9789000995</v>
      </c>
      <c r="C38" s="221">
        <v>46026</v>
      </c>
      <c r="D38" s="152"/>
      <c r="E38" s="152">
        <v>8000</v>
      </c>
      <c r="F38" s="157">
        <v>1</v>
      </c>
      <c r="G38" s="152">
        <v>8000</v>
      </c>
      <c r="H38" s="152"/>
      <c r="I38" s="221">
        <v>46119</v>
      </c>
      <c r="J38" s="152" t="s">
        <v>47</v>
      </c>
      <c r="K38" s="157"/>
      <c r="L38" s="152"/>
      <c r="M38" s="157"/>
      <c r="N38" s="157"/>
      <c r="O38" s="157"/>
      <c r="P38" s="157"/>
    </row>
    <row r="39" spans="1:27" s="165" customFormat="1" x14ac:dyDescent="0.4">
      <c r="A39" s="301" t="s">
        <v>1032</v>
      </c>
      <c r="B39" s="152"/>
      <c r="C39" s="152" t="s">
        <v>1007</v>
      </c>
      <c r="D39" s="152"/>
      <c r="E39" s="152">
        <v>2500</v>
      </c>
      <c r="F39" s="157">
        <v>1</v>
      </c>
      <c r="G39" s="152"/>
      <c r="H39" s="152"/>
      <c r="I39" s="152"/>
      <c r="J39" s="152"/>
      <c r="K39" s="157"/>
      <c r="L39" s="152"/>
      <c r="M39" s="157"/>
      <c r="N39" s="157"/>
      <c r="O39" s="157"/>
      <c r="P39" s="157"/>
    </row>
    <row r="40" spans="1:27" s="204" customFormat="1" x14ac:dyDescent="0.4">
      <c r="A40" s="298" t="s">
        <v>1014</v>
      </c>
      <c r="B40" s="201"/>
      <c r="C40" s="201" t="s">
        <v>1002</v>
      </c>
      <c r="D40" s="201" t="s">
        <v>1717</v>
      </c>
      <c r="E40" s="201">
        <v>1500</v>
      </c>
      <c r="F40" s="202">
        <v>1</v>
      </c>
      <c r="G40" s="201"/>
      <c r="H40" s="201"/>
      <c r="I40" s="246"/>
      <c r="J40" s="201"/>
      <c r="K40" s="202"/>
      <c r="L40" s="201" t="s">
        <v>1751</v>
      </c>
      <c r="M40" s="202"/>
      <c r="N40" s="202"/>
      <c r="O40" s="202"/>
      <c r="P40" s="202"/>
    </row>
    <row r="41" spans="1:27" s="199" customFormat="1" x14ac:dyDescent="0.4">
      <c r="A41" s="301" t="s">
        <v>1772</v>
      </c>
      <c r="B41" s="175"/>
      <c r="C41" s="197">
        <v>45663</v>
      </c>
      <c r="D41" s="175"/>
      <c r="E41" s="175">
        <v>4800</v>
      </c>
      <c r="F41" s="149">
        <v>3</v>
      </c>
      <c r="G41" s="175">
        <v>4800</v>
      </c>
      <c r="H41" s="175"/>
      <c r="I41" s="295">
        <v>46210</v>
      </c>
      <c r="J41" s="294" t="s">
        <v>47</v>
      </c>
      <c r="K41" s="149"/>
      <c r="L41" s="175"/>
      <c r="M41" s="149"/>
      <c r="N41" s="149" t="s">
        <v>1026</v>
      </c>
      <c r="O41" s="149" t="s">
        <v>1027</v>
      </c>
      <c r="P41" s="149"/>
    </row>
    <row r="42" spans="1:27" s="297" customFormat="1" x14ac:dyDescent="0.4">
      <c r="A42" s="306" t="s">
        <v>1063</v>
      </c>
      <c r="B42" s="294"/>
      <c r="C42" s="295">
        <v>46299</v>
      </c>
      <c r="D42" s="294">
        <v>5000</v>
      </c>
      <c r="E42" s="294">
        <v>1800</v>
      </c>
      <c r="F42" s="180">
        <v>1</v>
      </c>
      <c r="G42" s="294">
        <v>1800</v>
      </c>
      <c r="H42" s="294"/>
      <c r="I42" s="295" t="s">
        <v>1756</v>
      </c>
      <c r="J42" s="294" t="s">
        <v>47</v>
      </c>
      <c r="K42" s="180"/>
      <c r="L42" s="294"/>
      <c r="M42" s="180"/>
      <c r="N42" s="180"/>
      <c r="O42" s="180"/>
      <c r="P42" s="296"/>
    </row>
    <row r="43" spans="1:27" s="297" customFormat="1" x14ac:dyDescent="0.4">
      <c r="A43" s="306" t="s">
        <v>1726</v>
      </c>
      <c r="B43" s="294">
        <v>9789995556</v>
      </c>
      <c r="C43" s="295">
        <v>46330</v>
      </c>
      <c r="D43" s="294"/>
      <c r="E43" s="294">
        <v>2000</v>
      </c>
      <c r="F43" s="180">
        <v>1</v>
      </c>
      <c r="G43" s="294">
        <v>2000</v>
      </c>
      <c r="H43" s="294"/>
      <c r="I43" s="295">
        <v>46060</v>
      </c>
      <c r="J43" s="294" t="s">
        <v>880</v>
      </c>
      <c r="K43" s="180"/>
      <c r="L43" s="294"/>
      <c r="M43" s="180"/>
      <c r="N43" s="180"/>
      <c r="O43" s="180"/>
      <c r="P43" s="296"/>
    </row>
    <row r="44" spans="1:27" s="216" customFormat="1" x14ac:dyDescent="0.4">
      <c r="A44" s="305" t="s">
        <v>1375</v>
      </c>
      <c r="B44" s="213">
        <v>8220391602</v>
      </c>
      <c r="C44" s="300" t="s">
        <v>1082</v>
      </c>
      <c r="D44" s="213"/>
      <c r="E44" s="213">
        <v>1800</v>
      </c>
      <c r="F44" s="214">
        <v>1</v>
      </c>
      <c r="G44" s="213"/>
      <c r="H44" s="213"/>
      <c r="I44" s="300"/>
      <c r="J44" s="213"/>
      <c r="K44" s="214"/>
      <c r="L44" s="213" t="s">
        <v>1752</v>
      </c>
      <c r="M44" s="214"/>
      <c r="N44" s="214"/>
      <c r="O44" s="214"/>
      <c r="P44" s="293"/>
    </row>
    <row r="45" spans="1:27" s="271" customFormat="1" x14ac:dyDescent="0.4">
      <c r="A45" s="249" t="s">
        <v>1093</v>
      </c>
      <c r="B45" s="152">
        <v>9843295162</v>
      </c>
      <c r="C45" s="221" t="s">
        <v>1094</v>
      </c>
      <c r="D45" s="152"/>
      <c r="E45" s="152">
        <v>2500</v>
      </c>
      <c r="F45" s="157">
        <v>1</v>
      </c>
      <c r="G45" s="152"/>
      <c r="H45" s="152"/>
      <c r="I45" s="221"/>
      <c r="J45" s="152"/>
      <c r="K45" s="157"/>
      <c r="L45" s="152"/>
      <c r="M45" s="157"/>
      <c r="N45" s="205"/>
      <c r="O45" s="157"/>
      <c r="P45" s="291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</row>
    <row r="46" spans="1:27" s="165" customFormat="1" x14ac:dyDescent="0.4">
      <c r="A46" s="249" t="s">
        <v>1672</v>
      </c>
      <c r="B46" s="152">
        <v>9790767981</v>
      </c>
      <c r="C46" s="221" t="s">
        <v>1094</v>
      </c>
      <c r="D46" s="152"/>
      <c r="E46" s="152">
        <v>2500</v>
      </c>
      <c r="F46" s="157">
        <v>1</v>
      </c>
      <c r="G46" s="152"/>
      <c r="H46" s="152"/>
      <c r="I46" s="221"/>
      <c r="J46" s="152"/>
      <c r="K46" s="157"/>
      <c r="L46" s="152"/>
      <c r="M46" s="157"/>
      <c r="N46" s="205"/>
      <c r="O46" s="157"/>
      <c r="P46" s="291"/>
    </row>
    <row r="47" spans="1:27" s="165" customFormat="1" x14ac:dyDescent="0.4">
      <c r="A47" s="249" t="s">
        <v>1634</v>
      </c>
      <c r="B47" s="152">
        <v>9345642413</v>
      </c>
      <c r="C47" s="221">
        <v>46026</v>
      </c>
      <c r="D47" s="152"/>
      <c r="E47" s="152">
        <v>4250</v>
      </c>
      <c r="F47" s="157">
        <v>2</v>
      </c>
      <c r="G47" s="152">
        <v>4250</v>
      </c>
      <c r="H47" s="152"/>
      <c r="I47" s="221">
        <v>46060</v>
      </c>
      <c r="J47" s="152" t="s">
        <v>47</v>
      </c>
      <c r="K47" s="157"/>
      <c r="L47" s="152"/>
      <c r="M47" s="157"/>
      <c r="N47" s="205" t="s">
        <v>1371</v>
      </c>
      <c r="O47" s="157"/>
      <c r="P47" s="291"/>
    </row>
    <row r="48" spans="1:27" s="165" customFormat="1" x14ac:dyDescent="0.4">
      <c r="A48" s="249" t="s">
        <v>1460</v>
      </c>
      <c r="B48" s="152"/>
      <c r="C48" s="221">
        <v>46057</v>
      </c>
      <c r="D48" s="152"/>
      <c r="E48" s="152">
        <v>4000</v>
      </c>
      <c r="F48" s="157">
        <v>1</v>
      </c>
      <c r="G48" s="152"/>
      <c r="H48" s="152"/>
      <c r="I48" s="221"/>
      <c r="J48" s="152"/>
      <c r="K48" s="157"/>
      <c r="L48" s="152"/>
      <c r="M48" s="157"/>
      <c r="N48" s="205"/>
      <c r="O48" s="157"/>
    </row>
    <row r="49" spans="1:15" s="165" customFormat="1" x14ac:dyDescent="0.4">
      <c r="A49" t="s">
        <v>1633</v>
      </c>
      <c r="B49" s="152">
        <v>9080107306</v>
      </c>
      <c r="C49" s="221" t="s">
        <v>1154</v>
      </c>
      <c r="D49" s="152">
        <v>4500</v>
      </c>
      <c r="E49" s="152">
        <v>4500</v>
      </c>
      <c r="F49" s="157">
        <v>1</v>
      </c>
      <c r="G49" s="152">
        <v>4500</v>
      </c>
      <c r="H49" s="152"/>
      <c r="I49" s="221">
        <v>46180</v>
      </c>
      <c r="J49" s="152" t="s">
        <v>47</v>
      </c>
      <c r="K49" s="157"/>
      <c r="L49" s="152"/>
      <c r="M49" s="157"/>
      <c r="N49" s="205"/>
      <c r="O49" s="157"/>
    </row>
    <row r="50" spans="1:15" s="165" customFormat="1" x14ac:dyDescent="0.4">
      <c r="A50" s="249" t="s">
        <v>1740</v>
      </c>
      <c r="B50" s="152">
        <v>9566160306</v>
      </c>
      <c r="C50" s="221">
        <v>46331</v>
      </c>
      <c r="D50" s="152"/>
      <c r="E50" s="152">
        <v>1600</v>
      </c>
      <c r="F50" s="157">
        <v>1</v>
      </c>
      <c r="G50" s="152"/>
      <c r="H50" s="152"/>
      <c r="I50" s="221"/>
      <c r="J50" s="152"/>
      <c r="K50" s="157"/>
      <c r="L50" s="152"/>
      <c r="M50" s="157"/>
      <c r="N50" s="205"/>
      <c r="O50" s="157"/>
    </row>
    <row r="51" spans="1:15" s="165" customFormat="1" x14ac:dyDescent="0.4">
      <c r="A51" s="249" t="s">
        <v>1462</v>
      </c>
      <c r="B51" s="152">
        <v>9585324440</v>
      </c>
      <c r="C51" s="221">
        <v>46270</v>
      </c>
      <c r="D51" s="152">
        <v>11000</v>
      </c>
      <c r="E51" s="152">
        <v>11000</v>
      </c>
      <c r="F51" s="157">
        <v>1</v>
      </c>
      <c r="G51" s="152">
        <v>11000</v>
      </c>
      <c r="H51" s="152" t="s">
        <v>1760</v>
      </c>
      <c r="I51" s="221" t="s">
        <v>1761</v>
      </c>
      <c r="J51" s="152" t="s">
        <v>880</v>
      </c>
      <c r="K51" s="157"/>
      <c r="L51" s="152"/>
      <c r="M51" s="157"/>
      <c r="N51" s="205"/>
      <c r="O51" s="157"/>
    </row>
    <row r="52" spans="1:15" s="165" customFormat="1" x14ac:dyDescent="0.4">
      <c r="A52" s="249" t="s">
        <v>1670</v>
      </c>
      <c r="B52" s="152">
        <v>6374690143</v>
      </c>
      <c r="C52" s="221" t="s">
        <v>1423</v>
      </c>
      <c r="D52" s="152"/>
      <c r="E52" s="152">
        <v>4000</v>
      </c>
      <c r="F52" s="157">
        <v>2</v>
      </c>
      <c r="G52" s="152"/>
      <c r="H52" s="152"/>
      <c r="I52" s="221"/>
      <c r="J52" s="152"/>
      <c r="K52" s="157"/>
      <c r="L52" s="152"/>
      <c r="M52" s="157"/>
      <c r="N52" s="205"/>
      <c r="O52" s="157"/>
    </row>
    <row r="53" spans="1:15" s="204" customFormat="1" x14ac:dyDescent="0.4">
      <c r="A53" s="298" t="s">
        <v>1631</v>
      </c>
      <c r="B53" s="201">
        <v>9500112857</v>
      </c>
      <c r="C53" s="246" t="s">
        <v>1424</v>
      </c>
      <c r="D53" s="201" t="s">
        <v>1720</v>
      </c>
      <c r="E53" s="201">
        <v>5500</v>
      </c>
      <c r="F53" s="333">
        <v>1</v>
      </c>
      <c r="G53" s="201"/>
      <c r="H53" s="201"/>
      <c r="I53" s="246"/>
      <c r="J53" s="201"/>
      <c r="K53" s="333"/>
      <c r="L53" s="334" t="s">
        <v>811</v>
      </c>
      <c r="M53" s="333"/>
      <c r="N53" s="335"/>
    </row>
    <row r="54" spans="1:15" s="165" customFormat="1" x14ac:dyDescent="0.4">
      <c r="A54" s="249" t="s">
        <v>1541</v>
      </c>
      <c r="B54" s="152"/>
      <c r="C54" s="197"/>
      <c r="D54" s="152"/>
      <c r="E54" s="152"/>
      <c r="F54" s="230"/>
      <c r="G54" s="152"/>
      <c r="H54" s="152"/>
      <c r="I54" s="221"/>
      <c r="J54" s="152"/>
      <c r="K54" s="230"/>
      <c r="L54" s="231"/>
      <c r="M54" s="230"/>
      <c r="N54" s="232"/>
    </row>
    <row r="55" spans="1:15" s="165" customFormat="1" x14ac:dyDescent="0.4">
      <c r="A55" s="249" t="s">
        <v>1721</v>
      </c>
      <c r="B55" s="152">
        <v>9840449721</v>
      </c>
      <c r="C55" s="197" t="s">
        <v>1465</v>
      </c>
      <c r="D55" s="152"/>
      <c r="E55" s="152">
        <v>1600</v>
      </c>
      <c r="F55" s="230">
        <v>1</v>
      </c>
      <c r="G55" s="152"/>
      <c r="H55" s="152"/>
      <c r="I55" s="221"/>
      <c r="J55" s="152"/>
      <c r="K55" s="230"/>
      <c r="L55" s="231"/>
      <c r="M55" s="230"/>
      <c r="N55" s="232"/>
    </row>
    <row r="56" spans="1:15" s="165" customFormat="1" x14ac:dyDescent="0.4">
      <c r="A56" s="301" t="s">
        <v>1044</v>
      </c>
      <c r="B56" s="175">
        <v>8870214412</v>
      </c>
      <c r="C56" s="197" t="s">
        <v>1532</v>
      </c>
      <c r="D56" s="152"/>
      <c r="E56" s="152">
        <f>1650*4</f>
        <v>6600</v>
      </c>
      <c r="F56" s="230">
        <v>2</v>
      </c>
      <c r="G56" s="152">
        <v>5000</v>
      </c>
      <c r="H56" s="152"/>
      <c r="I56" s="152" t="s">
        <v>1762</v>
      </c>
      <c r="J56" s="152" t="s">
        <v>47</v>
      </c>
      <c r="K56" s="230"/>
      <c r="L56" s="231"/>
      <c r="M56" s="230"/>
      <c r="N56" s="232"/>
    </row>
    <row r="57" spans="1:15" s="165" customFormat="1" x14ac:dyDescent="0.4">
      <c r="A57" s="249" t="s">
        <v>1630</v>
      </c>
      <c r="B57" s="175">
        <v>9677432225</v>
      </c>
      <c r="C57" s="197">
        <v>46028</v>
      </c>
      <c r="D57" s="152"/>
      <c r="E57" s="152">
        <v>3000</v>
      </c>
      <c r="F57" s="230">
        <v>3</v>
      </c>
      <c r="G57" s="152">
        <v>3000</v>
      </c>
      <c r="H57" s="152"/>
      <c r="I57" s="221" t="s">
        <v>1763</v>
      </c>
      <c r="J57" s="152" t="s">
        <v>47</v>
      </c>
      <c r="K57" s="230"/>
      <c r="L57" s="231"/>
      <c r="M57" s="230"/>
      <c r="N57" s="232"/>
    </row>
    <row r="58" spans="1:15" s="165" customFormat="1" x14ac:dyDescent="0.4">
      <c r="A58" s="249" t="s">
        <v>1584</v>
      </c>
      <c r="B58" s="175">
        <v>8610326920</v>
      </c>
      <c r="C58" s="197">
        <v>46118</v>
      </c>
      <c r="D58" s="152"/>
      <c r="E58" s="152">
        <v>4000</v>
      </c>
      <c r="F58" s="230">
        <v>1</v>
      </c>
      <c r="G58" s="152">
        <v>4000</v>
      </c>
      <c r="H58" s="152"/>
      <c r="I58" s="221" t="s">
        <v>1764</v>
      </c>
      <c r="J58" s="152" t="s">
        <v>880</v>
      </c>
      <c r="K58" s="230"/>
      <c r="L58" s="231"/>
      <c r="M58" s="230"/>
      <c r="N58" s="232"/>
    </row>
    <row r="59" spans="1:15" s="165" customFormat="1" x14ac:dyDescent="0.4">
      <c r="A59" s="249" t="s">
        <v>1613</v>
      </c>
      <c r="B59" s="175"/>
      <c r="C59" s="197">
        <v>46118</v>
      </c>
      <c r="D59" s="152"/>
      <c r="E59" s="152">
        <v>1700</v>
      </c>
      <c r="F59" s="230">
        <v>1</v>
      </c>
      <c r="G59" s="152"/>
      <c r="H59" s="152"/>
      <c r="I59" s="221"/>
      <c r="J59" s="152"/>
      <c r="K59" s="230">
        <v>407</v>
      </c>
      <c r="L59" s="231"/>
      <c r="M59" s="230"/>
      <c r="N59" s="232"/>
    </row>
    <row r="60" spans="1:15" s="165" customFormat="1" x14ac:dyDescent="0.4">
      <c r="A60" s="249" t="s">
        <v>1586</v>
      </c>
      <c r="B60" s="175">
        <v>8056159949</v>
      </c>
      <c r="C60" s="197">
        <v>46118</v>
      </c>
      <c r="D60" s="152"/>
      <c r="E60" s="152">
        <v>2000</v>
      </c>
      <c r="F60" s="230">
        <v>1</v>
      </c>
      <c r="G60" s="152"/>
      <c r="H60" s="152"/>
      <c r="I60" s="221"/>
      <c r="J60" s="152"/>
      <c r="K60" s="230">
        <v>408</v>
      </c>
      <c r="L60" s="231"/>
      <c r="M60" s="230"/>
      <c r="N60" s="232"/>
    </row>
    <row r="61" spans="1:15" s="165" customFormat="1" x14ac:dyDescent="0.4">
      <c r="A61" s="249" t="s">
        <v>1616</v>
      </c>
      <c r="B61" s="175"/>
      <c r="C61" s="197">
        <v>46209</v>
      </c>
      <c r="D61" s="152"/>
      <c r="E61" s="152">
        <v>3400</v>
      </c>
      <c r="F61" s="230">
        <v>2</v>
      </c>
      <c r="G61" s="152"/>
      <c r="H61" s="152"/>
      <c r="I61" s="221"/>
      <c r="J61" s="152"/>
      <c r="K61" s="230">
        <v>412</v>
      </c>
      <c r="L61" s="231"/>
      <c r="M61" s="230"/>
      <c r="N61" s="232"/>
    </row>
    <row r="62" spans="1:15" s="165" customFormat="1" x14ac:dyDescent="0.4">
      <c r="A62" s="249" t="s">
        <v>1671</v>
      </c>
      <c r="B62" s="175"/>
      <c r="C62" s="197" t="s">
        <v>1653</v>
      </c>
      <c r="D62" s="152"/>
      <c r="E62" s="152">
        <v>4500</v>
      </c>
      <c r="F62" s="230">
        <v>1</v>
      </c>
      <c r="G62" s="152"/>
      <c r="H62" s="152"/>
      <c r="I62" s="221"/>
      <c r="J62" s="152"/>
      <c r="K62" s="230"/>
      <c r="L62" s="231"/>
      <c r="M62" s="230"/>
      <c r="N62" s="232"/>
    </row>
    <row r="63" spans="1:15" s="165" customFormat="1" x14ac:dyDescent="0.4">
      <c r="A63" s="249" t="s">
        <v>1654</v>
      </c>
      <c r="B63" s="175">
        <v>9790862314</v>
      </c>
      <c r="C63" s="197" t="s">
        <v>1655</v>
      </c>
      <c r="D63" s="152"/>
      <c r="E63" s="152">
        <v>2200</v>
      </c>
      <c r="F63" s="230">
        <v>1</v>
      </c>
      <c r="G63" s="152"/>
      <c r="H63" s="152"/>
      <c r="I63" s="221" t="s">
        <v>1757</v>
      </c>
      <c r="J63" s="152" t="s">
        <v>880</v>
      </c>
      <c r="K63" s="230"/>
      <c r="L63" s="231"/>
      <c r="M63" s="230"/>
      <c r="N63" s="232"/>
    </row>
    <row r="64" spans="1:15" s="165" customFormat="1" x14ac:dyDescent="0.4">
      <c r="A64" s="336" t="s">
        <v>1765</v>
      </c>
      <c r="B64" s="152">
        <v>733927373</v>
      </c>
      <c r="C64" s="337" t="s">
        <v>1733</v>
      </c>
      <c r="D64" s="152">
        <v>6500</v>
      </c>
      <c r="E64" s="152">
        <v>5500</v>
      </c>
      <c r="F64" s="230">
        <v>1</v>
      </c>
      <c r="G64" s="152">
        <v>13000</v>
      </c>
      <c r="H64" s="152" t="s">
        <v>1766</v>
      </c>
      <c r="I64" s="221" t="s">
        <v>1666</v>
      </c>
      <c r="J64" s="152"/>
      <c r="K64" s="230"/>
      <c r="L64" s="231"/>
      <c r="M64" s="230"/>
      <c r="N64" s="232"/>
    </row>
    <row r="65" spans="1:27" s="165" customFormat="1" x14ac:dyDescent="0.4">
      <c r="A65" s="336" t="s">
        <v>1731</v>
      </c>
      <c r="B65" s="175">
        <v>9841568910</v>
      </c>
      <c r="C65" s="338" t="s">
        <v>1673</v>
      </c>
      <c r="D65" s="152"/>
      <c r="E65" s="152">
        <v>1300</v>
      </c>
      <c r="F65" s="230">
        <v>1</v>
      </c>
      <c r="G65" s="152"/>
      <c r="H65" s="152"/>
      <c r="I65" s="197"/>
      <c r="J65" s="152"/>
      <c r="K65" s="230"/>
      <c r="L65" s="231"/>
      <c r="M65" s="230"/>
      <c r="N65" s="232"/>
    </row>
    <row r="66" spans="1:27" s="165" customFormat="1" x14ac:dyDescent="0.4">
      <c r="A66" s="336" t="s">
        <v>1730</v>
      </c>
      <c r="B66" s="175">
        <v>9841003876</v>
      </c>
      <c r="C66" s="338" t="s">
        <v>1673</v>
      </c>
      <c r="D66" s="152"/>
      <c r="E66" s="152">
        <v>2300</v>
      </c>
      <c r="F66" s="230">
        <v>1</v>
      </c>
      <c r="G66" s="152"/>
      <c r="H66" s="152"/>
      <c r="I66" s="197"/>
      <c r="J66" s="152"/>
      <c r="K66" s="230"/>
      <c r="L66" s="231"/>
      <c r="M66" s="230"/>
      <c r="N66" s="232"/>
    </row>
    <row r="67" spans="1:27" s="165" customFormat="1" x14ac:dyDescent="0.4">
      <c r="A67" s="336" t="s">
        <v>1713</v>
      </c>
      <c r="B67" s="175">
        <v>7448958137</v>
      </c>
      <c r="C67" s="338" t="s">
        <v>1704</v>
      </c>
      <c r="D67" s="152"/>
      <c r="E67" s="152">
        <v>1600</v>
      </c>
      <c r="F67" s="230">
        <v>1</v>
      </c>
      <c r="G67" s="152"/>
      <c r="H67" s="152"/>
      <c r="I67" s="197"/>
      <c r="J67" s="152"/>
      <c r="K67" s="230"/>
      <c r="L67" s="231"/>
      <c r="M67" s="230"/>
      <c r="N67" s="232"/>
    </row>
    <row r="68" spans="1:27" s="165" customFormat="1" x14ac:dyDescent="0.4">
      <c r="A68" s="336" t="s">
        <v>1767</v>
      </c>
      <c r="B68" s="175"/>
      <c r="C68" s="338" t="s">
        <v>1704</v>
      </c>
      <c r="D68" s="152"/>
      <c r="E68" s="152">
        <v>2200</v>
      </c>
      <c r="F68" s="230">
        <v>1</v>
      </c>
      <c r="G68" s="152">
        <v>2200</v>
      </c>
      <c r="H68" s="152" t="s">
        <v>178</v>
      </c>
      <c r="I68" s="197" t="s">
        <v>1704</v>
      </c>
      <c r="J68" s="152" t="s">
        <v>359</v>
      </c>
      <c r="K68" s="230"/>
      <c r="L68" s="231"/>
      <c r="M68" s="230"/>
      <c r="N68" s="232"/>
    </row>
    <row r="69" spans="1:27" s="165" customFormat="1" x14ac:dyDescent="0.4">
      <c r="A69" s="336" t="s">
        <v>1735</v>
      </c>
      <c r="B69" s="175">
        <v>9344098139</v>
      </c>
      <c r="C69" s="338" t="s">
        <v>1709</v>
      </c>
      <c r="D69" s="152"/>
      <c r="E69" s="152">
        <v>5500</v>
      </c>
      <c r="F69" s="230">
        <v>1</v>
      </c>
      <c r="G69" s="152"/>
      <c r="H69" s="152"/>
      <c r="I69" s="197"/>
      <c r="J69" s="152"/>
      <c r="K69" s="230"/>
      <c r="L69" s="231"/>
      <c r="M69" s="230"/>
      <c r="N69" s="232"/>
    </row>
    <row r="70" spans="1:27" s="165" customFormat="1" x14ac:dyDescent="0.4">
      <c r="A70" s="336" t="s">
        <v>1736</v>
      </c>
      <c r="B70" s="175">
        <v>9884610172</v>
      </c>
      <c r="C70" s="338" t="s">
        <v>1709</v>
      </c>
      <c r="D70" s="152"/>
      <c r="E70" s="152">
        <v>1200</v>
      </c>
      <c r="F70" s="230">
        <v>1</v>
      </c>
      <c r="G70" s="152"/>
      <c r="H70" s="152"/>
      <c r="I70" s="197"/>
      <c r="J70" s="152"/>
      <c r="K70" s="230"/>
      <c r="L70" s="231"/>
      <c r="M70" s="230"/>
      <c r="N70" s="232"/>
    </row>
    <row r="71" spans="1:27" s="165" customFormat="1" x14ac:dyDescent="0.4">
      <c r="A71" s="336" t="s">
        <v>1737</v>
      </c>
      <c r="B71" s="175" t="s">
        <v>1712</v>
      </c>
      <c r="C71" s="338" t="s">
        <v>1709</v>
      </c>
      <c r="D71" s="152">
        <v>1050</v>
      </c>
      <c r="E71" s="152">
        <v>2750</v>
      </c>
      <c r="F71" s="230">
        <v>1</v>
      </c>
      <c r="G71" s="152"/>
      <c r="H71" s="152"/>
      <c r="I71" s="197"/>
      <c r="J71" s="152"/>
      <c r="K71" s="230"/>
      <c r="L71" s="231"/>
      <c r="M71" s="230"/>
      <c r="N71" s="232"/>
    </row>
    <row r="72" spans="1:27" s="165" customFormat="1" x14ac:dyDescent="0.4">
      <c r="A72" s="336" t="s">
        <v>1769</v>
      </c>
      <c r="B72" s="175">
        <v>7358183505</v>
      </c>
      <c r="C72" s="338" t="s">
        <v>1770</v>
      </c>
      <c r="D72" s="152"/>
      <c r="E72" s="152"/>
      <c r="F72" s="230"/>
      <c r="G72" s="152"/>
      <c r="H72" s="152"/>
      <c r="I72" s="197"/>
      <c r="J72" s="152"/>
      <c r="K72" s="230"/>
      <c r="L72" s="231"/>
      <c r="M72" s="230"/>
      <c r="N72" s="232"/>
    </row>
    <row r="73" spans="1:27" s="165" customFormat="1" x14ac:dyDescent="0.4">
      <c r="A73" s="336" t="s">
        <v>1768</v>
      </c>
      <c r="B73" s="175">
        <v>9840831960</v>
      </c>
      <c r="C73" s="338" t="s">
        <v>1756</v>
      </c>
      <c r="D73" s="152"/>
      <c r="E73" s="152">
        <v>2500</v>
      </c>
      <c r="F73" s="230">
        <v>1</v>
      </c>
      <c r="G73" s="152">
        <v>2500</v>
      </c>
      <c r="H73" s="152" t="s">
        <v>22</v>
      </c>
      <c r="I73" s="197"/>
      <c r="J73" s="152"/>
      <c r="K73" s="230"/>
      <c r="L73" s="231"/>
      <c r="M73" s="230"/>
      <c r="N73" s="232"/>
    </row>
    <row r="74" spans="1:27" s="165" customFormat="1" x14ac:dyDescent="0.4">
      <c r="A74" s="336" t="s">
        <v>1771</v>
      </c>
      <c r="B74" s="175">
        <v>8610453567</v>
      </c>
      <c r="C74" s="338" t="s">
        <v>1756</v>
      </c>
      <c r="D74" s="152">
        <v>6500</v>
      </c>
      <c r="E74" s="152">
        <v>6500</v>
      </c>
      <c r="F74" s="230">
        <v>1</v>
      </c>
      <c r="G74" s="152">
        <v>13250</v>
      </c>
      <c r="H74" s="152"/>
      <c r="I74" s="338" t="s">
        <v>1756</v>
      </c>
      <c r="J74" s="152" t="s">
        <v>47</v>
      </c>
      <c r="K74" s="230"/>
      <c r="L74" s="231"/>
      <c r="M74" s="230"/>
      <c r="N74" s="232"/>
    </row>
    <row r="75" spans="1:27" s="165" customFormat="1" x14ac:dyDescent="0.4">
      <c r="A75" s="308" t="s">
        <v>66</v>
      </c>
      <c r="B75" s="152"/>
      <c r="C75" s="152"/>
      <c r="D75" s="152"/>
      <c r="E75" s="152"/>
      <c r="F75" s="157"/>
      <c r="G75" s="152"/>
      <c r="H75" s="152"/>
      <c r="I75" s="152"/>
      <c r="J75" s="152"/>
      <c r="K75" s="157"/>
      <c r="L75" s="152"/>
      <c r="M75" s="157"/>
      <c r="N75" s="205"/>
    </row>
    <row r="76" spans="1:27" s="165" customFormat="1" x14ac:dyDescent="0.4">
      <c r="A76" s="308" t="s">
        <v>828</v>
      </c>
      <c r="B76" s="235" t="s">
        <v>829</v>
      </c>
      <c r="C76" s="235" t="s">
        <v>830</v>
      </c>
      <c r="D76" s="235" t="s">
        <v>831</v>
      </c>
      <c r="E76" s="235" t="s">
        <v>817</v>
      </c>
      <c r="F76" s="233" t="s">
        <v>878</v>
      </c>
      <c r="G76" s="233" t="s">
        <v>833</v>
      </c>
      <c r="H76" s="233"/>
      <c r="I76" s="235" t="s">
        <v>819</v>
      </c>
      <c r="J76" s="235" t="s">
        <v>876</v>
      </c>
      <c r="K76" s="233" t="s">
        <v>872</v>
      </c>
      <c r="L76" s="233"/>
      <c r="M76" s="233" t="s">
        <v>877</v>
      </c>
      <c r="N76" s="205"/>
      <c r="O76" s="235" t="s">
        <v>69</v>
      </c>
      <c r="P76" s="235" t="s">
        <v>834</v>
      </c>
    </row>
    <row r="77" spans="1:27" s="178" customFormat="1" x14ac:dyDescent="0.4">
      <c r="A77" s="309" t="s">
        <v>187</v>
      </c>
      <c r="B77" s="276"/>
      <c r="C77" s="277" t="s">
        <v>860</v>
      </c>
      <c r="D77" s="276"/>
      <c r="E77" s="276">
        <v>25600</v>
      </c>
      <c r="F77" s="278">
        <v>28</v>
      </c>
      <c r="G77" s="278">
        <v>29928</v>
      </c>
      <c r="H77" s="278"/>
      <c r="I77" s="278" t="s">
        <v>1655</v>
      </c>
      <c r="J77" s="276" t="s">
        <v>1065</v>
      </c>
      <c r="K77" s="276"/>
      <c r="L77" s="320" t="s">
        <v>1543</v>
      </c>
      <c r="M77" s="278"/>
      <c r="N77" s="279"/>
      <c r="O77" s="276">
        <f t="shared" ref="O77:O94" si="0">E77*18%</f>
        <v>4608</v>
      </c>
      <c r="P77" s="276">
        <f t="shared" ref="P77:P94" si="1">E77+O77</f>
        <v>30208</v>
      </c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</row>
    <row r="78" spans="1:27" s="280" customFormat="1" ht="16.5" customHeight="1" x14ac:dyDescent="0.4">
      <c r="A78" s="310" t="s">
        <v>289</v>
      </c>
      <c r="B78" s="155"/>
      <c r="C78" s="155" t="s">
        <v>450</v>
      </c>
      <c r="D78" s="155"/>
      <c r="E78" s="155">
        <v>35765</v>
      </c>
      <c r="F78" s="174">
        <v>21</v>
      </c>
      <c r="G78" s="174">
        <v>39840</v>
      </c>
      <c r="H78" s="174"/>
      <c r="I78" s="327">
        <v>46118</v>
      </c>
      <c r="J78" s="155" t="s">
        <v>1065</v>
      </c>
      <c r="K78" s="155"/>
      <c r="L78" s="316" t="s">
        <v>1669</v>
      </c>
      <c r="M78" s="174"/>
      <c r="N78" s="142"/>
      <c r="O78" s="155">
        <f t="shared" si="0"/>
        <v>6437.7</v>
      </c>
      <c r="P78" s="155">
        <f t="shared" si="1"/>
        <v>42202.7</v>
      </c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</row>
    <row r="79" spans="1:27" s="178" customFormat="1" ht="20.25" customHeight="1" x14ac:dyDescent="0.4">
      <c r="A79" s="310" t="s">
        <v>520</v>
      </c>
      <c r="B79" s="155"/>
      <c r="C79" s="155" t="s">
        <v>846</v>
      </c>
      <c r="D79" s="155"/>
      <c r="E79" s="155">
        <v>41746</v>
      </c>
      <c r="F79" s="174">
        <v>7</v>
      </c>
      <c r="G79" s="328">
        <v>56104</v>
      </c>
      <c r="H79" s="328"/>
      <c r="I79" s="177">
        <v>46240</v>
      </c>
      <c r="J79" s="155" t="s">
        <v>1065</v>
      </c>
      <c r="K79" s="155"/>
      <c r="L79" s="316"/>
      <c r="M79" s="174"/>
      <c r="N79" s="142"/>
      <c r="O79" s="155">
        <f t="shared" si="0"/>
        <v>7514.28</v>
      </c>
      <c r="P79" s="155">
        <f t="shared" si="1"/>
        <v>49260.28</v>
      </c>
    </row>
    <row r="80" spans="1:27" s="178" customFormat="1" ht="16.5" customHeight="1" x14ac:dyDescent="0.4">
      <c r="A80" s="309" t="s">
        <v>416</v>
      </c>
      <c r="B80" s="276"/>
      <c r="C80" s="277" t="s">
        <v>450</v>
      </c>
      <c r="D80" s="276"/>
      <c r="E80" s="276">
        <v>14500</v>
      </c>
      <c r="F80" s="278">
        <v>10</v>
      </c>
      <c r="G80" s="278">
        <v>16768</v>
      </c>
      <c r="H80" s="355"/>
      <c r="I80" s="326">
        <v>46179</v>
      </c>
      <c r="J80" s="276" t="s">
        <v>1065</v>
      </c>
      <c r="K80" s="276"/>
      <c r="L80" s="319" t="s">
        <v>1544</v>
      </c>
      <c r="M80" s="278"/>
      <c r="N80" s="279"/>
      <c r="O80" s="276">
        <f t="shared" si="0"/>
        <v>2610</v>
      </c>
      <c r="P80" s="276">
        <f t="shared" si="1"/>
        <v>17110</v>
      </c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</row>
    <row r="81" spans="1:27" s="297" customFormat="1" ht="21.75" customHeight="1" x14ac:dyDescent="0.4">
      <c r="A81" s="301" t="s">
        <v>409</v>
      </c>
      <c r="B81" s="175"/>
      <c r="C81" s="175" t="s">
        <v>450</v>
      </c>
      <c r="D81" s="175"/>
      <c r="E81" s="175">
        <v>41469</v>
      </c>
      <c r="F81" s="149">
        <v>18</v>
      </c>
      <c r="G81" s="175"/>
      <c r="H81" s="175"/>
      <c r="I81" s="180"/>
      <c r="J81" s="175"/>
      <c r="K81" s="175"/>
      <c r="L81" s="345" t="s">
        <v>1567</v>
      </c>
      <c r="M81" s="149"/>
      <c r="N81" s="198"/>
      <c r="O81" s="175">
        <f t="shared" si="0"/>
        <v>7464.42</v>
      </c>
      <c r="P81" s="175">
        <f t="shared" si="1"/>
        <v>48933.42</v>
      </c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</row>
    <row r="82" spans="1:27" s="178" customFormat="1" x14ac:dyDescent="0.4">
      <c r="A82" s="309" t="s">
        <v>341</v>
      </c>
      <c r="B82" s="276"/>
      <c r="C82" s="277" t="s">
        <v>450</v>
      </c>
      <c r="D82" s="276"/>
      <c r="E82" s="276">
        <v>6000</v>
      </c>
      <c r="F82" s="278">
        <v>3</v>
      </c>
      <c r="G82" s="278">
        <v>11800</v>
      </c>
      <c r="H82" s="278"/>
      <c r="I82" s="283">
        <v>46119</v>
      </c>
      <c r="J82" s="276" t="s">
        <v>1065</v>
      </c>
      <c r="K82" s="276"/>
      <c r="L82" s="276" t="s">
        <v>1555</v>
      </c>
      <c r="M82" s="278"/>
      <c r="N82" s="279"/>
      <c r="O82" s="276">
        <f t="shared" si="0"/>
        <v>1080</v>
      </c>
      <c r="P82" s="276">
        <f t="shared" si="1"/>
        <v>7080</v>
      </c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</row>
    <row r="83" spans="1:27" s="280" customFormat="1" x14ac:dyDescent="0.4">
      <c r="A83" s="310" t="s">
        <v>291</v>
      </c>
      <c r="B83" s="155"/>
      <c r="C83" s="177">
        <v>45661</v>
      </c>
      <c r="D83" s="155"/>
      <c r="E83" s="155">
        <v>2500</v>
      </c>
      <c r="F83" s="174">
        <v>1</v>
      </c>
      <c r="G83" s="155">
        <v>2950</v>
      </c>
      <c r="H83" s="155"/>
      <c r="I83" s="177">
        <v>46029</v>
      </c>
      <c r="J83" s="281" t="s">
        <v>1065</v>
      </c>
      <c r="K83" s="281"/>
      <c r="L83" s="320" t="s">
        <v>1546</v>
      </c>
      <c r="M83" s="174"/>
      <c r="N83" s="142"/>
      <c r="O83" s="155">
        <f t="shared" si="0"/>
        <v>450</v>
      </c>
      <c r="P83" s="155">
        <f t="shared" si="1"/>
        <v>2950</v>
      </c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</row>
    <row r="84" spans="1:27" s="199" customFormat="1" x14ac:dyDescent="0.4">
      <c r="A84" s="301" t="s">
        <v>70</v>
      </c>
      <c r="B84" s="175"/>
      <c r="C84" s="175" t="s">
        <v>450</v>
      </c>
      <c r="D84" s="175"/>
      <c r="E84" s="175">
        <v>1400</v>
      </c>
      <c r="F84" s="149">
        <v>2</v>
      </c>
      <c r="G84" s="175"/>
      <c r="H84" s="175"/>
      <c r="I84" s="175"/>
      <c r="J84" s="175"/>
      <c r="K84" s="175"/>
      <c r="L84" s="175" t="s">
        <v>1569</v>
      </c>
      <c r="M84" s="149"/>
      <c r="N84" s="198"/>
      <c r="O84" s="175">
        <f t="shared" si="0"/>
        <v>252</v>
      </c>
      <c r="P84" s="175">
        <f t="shared" si="1"/>
        <v>1652</v>
      </c>
    </row>
    <row r="85" spans="1:27" s="204" customFormat="1" x14ac:dyDescent="0.4">
      <c r="A85" s="298" t="s">
        <v>1044</v>
      </c>
      <c r="B85" s="201">
        <v>8870214412</v>
      </c>
      <c r="C85" s="246">
        <v>46116</v>
      </c>
      <c r="D85" s="201"/>
      <c r="E85" s="201"/>
      <c r="F85" s="214">
        <v>3</v>
      </c>
      <c r="G85" s="213"/>
      <c r="H85" s="213"/>
      <c r="I85" s="213"/>
      <c r="J85" s="213"/>
      <c r="K85" s="213"/>
      <c r="L85" s="201"/>
      <c r="M85" s="214"/>
      <c r="N85" s="215"/>
      <c r="O85" s="213">
        <f t="shared" si="0"/>
        <v>0</v>
      </c>
      <c r="P85" s="213">
        <f t="shared" si="1"/>
        <v>0</v>
      </c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</row>
    <row r="86" spans="1:27" s="280" customFormat="1" x14ac:dyDescent="0.4">
      <c r="A86" s="310" t="s">
        <v>1635</v>
      </c>
      <c r="B86" s="155">
        <v>9790299900</v>
      </c>
      <c r="C86" s="177">
        <v>46145</v>
      </c>
      <c r="D86" s="155"/>
      <c r="E86" s="155">
        <v>5750</v>
      </c>
      <c r="F86" s="174">
        <v>1</v>
      </c>
      <c r="G86" s="155"/>
      <c r="H86" s="155"/>
      <c r="I86" s="174"/>
      <c r="J86" s="155"/>
      <c r="K86" s="155"/>
      <c r="L86" s="155" t="s">
        <v>1739</v>
      </c>
      <c r="M86" s="174"/>
      <c r="N86" s="142"/>
      <c r="O86" s="155">
        <f t="shared" si="0"/>
        <v>1035</v>
      </c>
      <c r="P86" s="155">
        <f t="shared" si="1"/>
        <v>6785</v>
      </c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</row>
    <row r="87" spans="1:27" s="199" customFormat="1" x14ac:dyDescent="0.4">
      <c r="A87" s="301" t="s">
        <v>791</v>
      </c>
      <c r="B87" s="175">
        <v>9952955111</v>
      </c>
      <c r="C87" s="197">
        <v>46025</v>
      </c>
      <c r="D87" s="175"/>
      <c r="E87" s="175">
        <v>2000</v>
      </c>
      <c r="F87" s="149">
        <v>1</v>
      </c>
      <c r="G87" s="175"/>
      <c r="H87" s="175"/>
      <c r="I87" s="175"/>
      <c r="J87" s="175"/>
      <c r="K87" s="175"/>
      <c r="L87" s="175" t="s">
        <v>1046</v>
      </c>
      <c r="M87" s="149"/>
      <c r="N87" s="198"/>
      <c r="O87" s="175">
        <f t="shared" si="0"/>
        <v>360</v>
      </c>
      <c r="P87" s="175">
        <f t="shared" si="1"/>
        <v>2360</v>
      </c>
    </row>
    <row r="88" spans="1:27" s="178" customFormat="1" x14ac:dyDescent="0.4">
      <c r="A88" s="310" t="s">
        <v>459</v>
      </c>
      <c r="B88" s="155"/>
      <c r="C88" s="155" t="s">
        <v>893</v>
      </c>
      <c r="D88" s="155"/>
      <c r="E88" s="155">
        <v>4000</v>
      </c>
      <c r="F88" s="174">
        <v>2</v>
      </c>
      <c r="G88" s="155">
        <v>9440</v>
      </c>
      <c r="H88" s="155"/>
      <c r="I88" s="177">
        <v>46087</v>
      </c>
      <c r="J88" s="155" t="s">
        <v>1065</v>
      </c>
      <c r="K88" s="155"/>
      <c r="L88" s="155" t="s">
        <v>1570</v>
      </c>
      <c r="M88" s="174"/>
      <c r="N88" s="142"/>
      <c r="O88" s="155">
        <f t="shared" si="0"/>
        <v>720</v>
      </c>
      <c r="P88" s="155">
        <f t="shared" si="1"/>
        <v>4720</v>
      </c>
    </row>
    <row r="89" spans="1:27" s="178" customFormat="1" x14ac:dyDescent="0.4">
      <c r="A89" s="310" t="s">
        <v>434</v>
      </c>
      <c r="B89" s="155"/>
      <c r="C89" s="155" t="s">
        <v>893</v>
      </c>
      <c r="D89" s="155"/>
      <c r="E89" s="155">
        <v>20550</v>
      </c>
      <c r="F89" s="174">
        <v>11</v>
      </c>
      <c r="G89" s="155"/>
      <c r="H89" s="155"/>
      <c r="I89" s="155"/>
      <c r="J89" s="286"/>
      <c r="K89" s="155"/>
      <c r="L89" s="155"/>
      <c r="M89" s="174"/>
      <c r="N89" s="142"/>
      <c r="O89" s="155">
        <f t="shared" si="0"/>
        <v>3699</v>
      </c>
      <c r="P89" s="155">
        <f t="shared" si="1"/>
        <v>24249</v>
      </c>
    </row>
    <row r="90" spans="1:27" s="199" customFormat="1" x14ac:dyDescent="0.4">
      <c r="A90" s="301" t="s">
        <v>701</v>
      </c>
      <c r="B90" s="175">
        <v>7794025725</v>
      </c>
      <c r="C90" s="175" t="s">
        <v>708</v>
      </c>
      <c r="D90" s="175"/>
      <c r="E90" s="175">
        <v>17500</v>
      </c>
      <c r="F90" s="149">
        <v>10</v>
      </c>
      <c r="G90" s="175"/>
      <c r="H90" s="175"/>
      <c r="I90" s="175"/>
      <c r="J90" s="339"/>
      <c r="K90" s="175"/>
      <c r="L90" s="175"/>
      <c r="M90" s="149"/>
      <c r="N90" s="198"/>
      <c r="O90" s="175">
        <f t="shared" si="0"/>
        <v>3150</v>
      </c>
      <c r="P90" s="175">
        <f t="shared" si="1"/>
        <v>20650</v>
      </c>
    </row>
    <row r="91" spans="1:27" s="178" customFormat="1" x14ac:dyDescent="0.4">
      <c r="A91" s="310" t="s">
        <v>1636</v>
      </c>
      <c r="B91" s="155">
        <v>9043035545</v>
      </c>
      <c r="C91" s="155" t="s">
        <v>707</v>
      </c>
      <c r="D91" s="155"/>
      <c r="E91" s="155">
        <v>16000</v>
      </c>
      <c r="F91" s="174">
        <v>1</v>
      </c>
      <c r="G91" s="155">
        <v>17500</v>
      </c>
      <c r="H91" s="155"/>
      <c r="I91" s="177">
        <v>46272</v>
      </c>
      <c r="J91" s="155" t="s">
        <v>1755</v>
      </c>
      <c r="K91" s="155"/>
      <c r="L91" s="320" t="s">
        <v>1545</v>
      </c>
      <c r="M91" s="174"/>
      <c r="N91" s="142"/>
      <c r="O91" s="155">
        <f t="shared" si="0"/>
        <v>2880</v>
      </c>
      <c r="P91" s="155">
        <f t="shared" si="1"/>
        <v>18880</v>
      </c>
    </row>
    <row r="92" spans="1:27" s="216" customFormat="1" x14ac:dyDescent="0.4">
      <c r="A92" s="305" t="s">
        <v>604</v>
      </c>
      <c r="B92" s="213">
        <v>9442130825</v>
      </c>
      <c r="C92" s="213" t="s">
        <v>707</v>
      </c>
      <c r="D92" s="213"/>
      <c r="E92" s="213">
        <v>10000</v>
      </c>
      <c r="F92" s="214">
        <v>2</v>
      </c>
      <c r="G92" s="213"/>
      <c r="H92" s="213"/>
      <c r="I92" s="213"/>
      <c r="J92" s="213"/>
      <c r="K92" s="213"/>
      <c r="L92" s="349" t="s">
        <v>1607</v>
      </c>
      <c r="M92" s="214"/>
      <c r="N92" s="215"/>
      <c r="O92" s="213">
        <f t="shared" si="0"/>
        <v>1800</v>
      </c>
      <c r="P92" s="213">
        <f t="shared" si="1"/>
        <v>11800</v>
      </c>
    </row>
    <row r="93" spans="1:27" s="199" customFormat="1" ht="16.5" customHeight="1" x14ac:dyDescent="0.4">
      <c r="A93" s="301" t="s">
        <v>835</v>
      </c>
      <c r="B93" s="175"/>
      <c r="C93" s="175" t="s">
        <v>795</v>
      </c>
      <c r="D93" s="175"/>
      <c r="E93" s="175">
        <f>15*1600</f>
        <v>24000</v>
      </c>
      <c r="F93" s="149">
        <v>8</v>
      </c>
      <c r="G93" s="175">
        <v>29075</v>
      </c>
      <c r="H93" s="175"/>
      <c r="I93" s="197" t="s">
        <v>1655</v>
      </c>
      <c r="J93" s="175" t="s">
        <v>1065</v>
      </c>
      <c r="K93" s="175"/>
      <c r="L93" s="175"/>
      <c r="M93" s="149"/>
      <c r="N93" s="198"/>
      <c r="O93" s="175">
        <f t="shared" si="0"/>
        <v>4320</v>
      </c>
      <c r="P93" s="175">
        <f t="shared" si="1"/>
        <v>28320</v>
      </c>
    </row>
    <row r="94" spans="1:27" s="199" customFormat="1" x14ac:dyDescent="0.4">
      <c r="A94" s="301" t="s">
        <v>405</v>
      </c>
      <c r="B94" s="175"/>
      <c r="C94" s="175" t="s">
        <v>1738</v>
      </c>
      <c r="D94" s="175"/>
      <c r="E94" s="175">
        <v>1400</v>
      </c>
      <c r="F94" s="149">
        <v>1</v>
      </c>
      <c r="G94" s="175"/>
      <c r="H94" s="175"/>
      <c r="I94" s="175"/>
      <c r="J94" s="175"/>
      <c r="K94" s="175"/>
      <c r="L94" s="339" t="s">
        <v>1707</v>
      </c>
      <c r="M94" s="149"/>
      <c r="N94" s="198"/>
      <c r="O94" s="175">
        <f t="shared" si="0"/>
        <v>252</v>
      </c>
      <c r="P94" s="175">
        <f t="shared" si="1"/>
        <v>1652</v>
      </c>
    </row>
    <row r="95" spans="1:27" s="199" customFormat="1" x14ac:dyDescent="0.4">
      <c r="A95" s="301" t="s">
        <v>836</v>
      </c>
      <c r="B95" s="175"/>
      <c r="C95" s="175" t="s">
        <v>1000</v>
      </c>
      <c r="D95" s="175"/>
      <c r="E95" s="175">
        <v>3000</v>
      </c>
      <c r="F95" s="149">
        <v>1</v>
      </c>
      <c r="G95" s="175"/>
      <c r="H95" s="175"/>
      <c r="I95" s="175"/>
      <c r="J95" s="175"/>
      <c r="K95" s="175"/>
      <c r="L95" s="175"/>
      <c r="M95" s="149"/>
      <c r="N95" s="198"/>
      <c r="O95" s="175"/>
      <c r="P95" s="175"/>
    </row>
    <row r="96" spans="1:27" s="199" customFormat="1" x14ac:dyDescent="0.4">
      <c r="A96" s="301" t="s">
        <v>836</v>
      </c>
      <c r="B96" s="175"/>
      <c r="C96" s="175" t="s">
        <v>999</v>
      </c>
      <c r="D96" s="175"/>
      <c r="E96" s="175">
        <v>29400</v>
      </c>
      <c r="F96" s="149">
        <v>17</v>
      </c>
      <c r="G96" s="175"/>
      <c r="H96" s="175"/>
      <c r="I96" s="175"/>
      <c r="J96" s="175"/>
      <c r="K96" s="175"/>
      <c r="L96" s="175"/>
      <c r="M96" s="149"/>
      <c r="N96" s="198"/>
      <c r="O96" s="175"/>
      <c r="P96" s="175"/>
    </row>
    <row r="97" spans="1:27" s="199" customFormat="1" x14ac:dyDescent="0.4">
      <c r="A97" s="301" t="s">
        <v>836</v>
      </c>
      <c r="B97" s="175"/>
      <c r="C97" s="175" t="s">
        <v>852</v>
      </c>
      <c r="D97" s="175"/>
      <c r="E97" s="175">
        <v>36800</v>
      </c>
      <c r="F97" s="149">
        <v>16</v>
      </c>
      <c r="G97" s="175">
        <v>79112</v>
      </c>
      <c r="H97" s="175"/>
      <c r="I97" s="175" t="s">
        <v>1723</v>
      </c>
      <c r="J97" s="175" t="s">
        <v>1065</v>
      </c>
      <c r="K97" s="175"/>
      <c r="L97" s="175"/>
      <c r="M97" s="149"/>
      <c r="N97" s="198"/>
      <c r="O97" s="175">
        <f>E97*18%</f>
        <v>6624</v>
      </c>
      <c r="P97" s="175">
        <f>E97+O97</f>
        <v>43424</v>
      </c>
    </row>
    <row r="98" spans="1:27" s="199" customFormat="1" x14ac:dyDescent="0.4">
      <c r="A98" s="301" t="s">
        <v>836</v>
      </c>
      <c r="B98" s="175"/>
      <c r="C98" s="175" t="s">
        <v>1245</v>
      </c>
      <c r="D98" s="175"/>
      <c r="E98" s="175">
        <v>2000</v>
      </c>
      <c r="F98" s="149">
        <v>1</v>
      </c>
      <c r="G98" s="175"/>
      <c r="H98" s="175"/>
      <c r="I98" s="175"/>
      <c r="J98" s="175"/>
      <c r="K98" s="175"/>
      <c r="L98" s="175"/>
      <c r="M98" s="149"/>
      <c r="N98" s="198"/>
      <c r="O98" s="175"/>
      <c r="P98" s="175"/>
    </row>
    <row r="99" spans="1:27" s="199" customFormat="1" x14ac:dyDescent="0.4">
      <c r="A99" s="301" t="s">
        <v>519</v>
      </c>
      <c r="B99" s="175"/>
      <c r="C99" s="197">
        <v>46332</v>
      </c>
      <c r="D99" s="175"/>
      <c r="E99" s="175" t="s">
        <v>1700</v>
      </c>
      <c r="F99" s="346">
        <v>3</v>
      </c>
      <c r="G99" s="175"/>
      <c r="H99" s="175"/>
      <c r="I99" s="175"/>
      <c r="J99" s="175"/>
      <c r="K99" s="175"/>
      <c r="L99" s="175"/>
      <c r="M99" s="149"/>
      <c r="N99" s="198"/>
      <c r="O99" s="175"/>
      <c r="P99" s="175"/>
    </row>
    <row r="100" spans="1:27" s="199" customFormat="1" x14ac:dyDescent="0.4">
      <c r="A100" s="301" t="s">
        <v>454</v>
      </c>
      <c r="B100" s="175"/>
      <c r="C100" s="175" t="s">
        <v>847</v>
      </c>
      <c r="D100" s="175"/>
      <c r="E100" s="175">
        <v>2100</v>
      </c>
      <c r="F100" s="149">
        <v>1</v>
      </c>
      <c r="G100" s="175"/>
      <c r="H100" s="175"/>
      <c r="I100" s="175"/>
      <c r="J100" s="175"/>
      <c r="K100" s="175"/>
      <c r="L100" s="175" t="s">
        <v>1089</v>
      </c>
      <c r="M100" s="149"/>
      <c r="N100" s="198"/>
      <c r="O100" s="175">
        <f>E100*18%</f>
        <v>378</v>
      </c>
      <c r="P100" s="175">
        <f>E100+O100</f>
        <v>2478</v>
      </c>
    </row>
    <row r="101" spans="1:27" s="199" customFormat="1" x14ac:dyDescent="0.4">
      <c r="A101" s="301" t="s">
        <v>1045</v>
      </c>
      <c r="B101" s="175">
        <v>7010148704</v>
      </c>
      <c r="C101" s="197">
        <v>46025</v>
      </c>
      <c r="D101" s="175"/>
      <c r="E101" s="175">
        <f>2750*4</f>
        <v>11000</v>
      </c>
      <c r="F101" s="149">
        <v>4</v>
      </c>
      <c r="G101" s="175">
        <v>12760</v>
      </c>
      <c r="H101" s="175"/>
      <c r="I101" s="175" t="s">
        <v>1653</v>
      </c>
      <c r="J101" s="175" t="s">
        <v>1065</v>
      </c>
      <c r="K101" s="175"/>
      <c r="L101" s="175"/>
      <c r="M101" s="149"/>
      <c r="N101" s="198"/>
      <c r="O101" s="175"/>
      <c r="P101" s="175"/>
    </row>
    <row r="102" spans="1:27" s="204" customFormat="1" x14ac:dyDescent="0.4">
      <c r="A102" s="285" t="s">
        <v>1637</v>
      </c>
      <c r="B102" s="201"/>
      <c r="C102" s="201" t="s">
        <v>1424</v>
      </c>
      <c r="D102" s="201"/>
      <c r="E102" s="201">
        <v>29500</v>
      </c>
      <c r="F102" s="202">
        <v>8</v>
      </c>
      <c r="G102" s="201">
        <v>20880</v>
      </c>
      <c r="H102" s="201"/>
      <c r="I102" s="246">
        <v>46086</v>
      </c>
      <c r="J102" s="201" t="s">
        <v>1065</v>
      </c>
      <c r="K102" s="201"/>
      <c r="L102" s="350" t="s">
        <v>1708</v>
      </c>
      <c r="M102" s="202"/>
      <c r="N102" s="203"/>
      <c r="O102" s="201"/>
      <c r="P102" s="201"/>
    </row>
    <row r="103" spans="1:27" s="178" customFormat="1" x14ac:dyDescent="0.4">
      <c r="A103" s="35" t="s">
        <v>1638</v>
      </c>
      <c r="B103" s="177"/>
      <c r="C103" s="177">
        <v>46329</v>
      </c>
      <c r="D103" s="155"/>
      <c r="E103" s="155">
        <v>29500</v>
      </c>
      <c r="F103" s="174">
        <v>2</v>
      </c>
      <c r="G103" s="155"/>
      <c r="H103" s="155"/>
      <c r="I103" s="155"/>
      <c r="J103" s="155"/>
      <c r="K103" s="155"/>
      <c r="L103" s="155"/>
      <c r="M103" s="174"/>
      <c r="N103" s="142"/>
      <c r="O103" s="155"/>
      <c r="P103" s="155"/>
    </row>
    <row r="104" spans="1:27" s="178" customFormat="1" x14ac:dyDescent="0.4">
      <c r="A104" s="310" t="s">
        <v>1585</v>
      </c>
      <c r="B104" s="155"/>
      <c r="C104" s="177">
        <v>46148</v>
      </c>
      <c r="D104" s="155"/>
      <c r="E104" s="155">
        <v>1700</v>
      </c>
      <c r="F104" s="329">
        <v>1</v>
      </c>
      <c r="G104" s="155"/>
      <c r="H104" s="155"/>
      <c r="I104" s="177"/>
      <c r="J104" s="155"/>
      <c r="K104" s="329"/>
      <c r="L104" s="351" t="s">
        <v>1753</v>
      </c>
      <c r="M104" s="329"/>
      <c r="N104" s="331"/>
    </row>
    <row r="105" spans="1:27" s="178" customFormat="1" x14ac:dyDescent="0.4">
      <c r="A105" s="35" t="s">
        <v>1638</v>
      </c>
      <c r="B105" s="177"/>
      <c r="C105" s="177">
        <v>46179</v>
      </c>
      <c r="D105" s="155"/>
      <c r="E105" s="155">
        <v>16000</v>
      </c>
      <c r="F105" s="174">
        <v>1</v>
      </c>
      <c r="G105" s="155">
        <v>29500</v>
      </c>
      <c r="H105" s="155"/>
      <c r="I105" s="155" t="s">
        <v>1662</v>
      </c>
      <c r="J105" s="155" t="s">
        <v>1065</v>
      </c>
      <c r="K105" s="155"/>
      <c r="L105" s="155"/>
      <c r="M105" s="174"/>
      <c r="N105" s="142"/>
      <c r="O105" s="155"/>
      <c r="P105" s="155"/>
    </row>
    <row r="106" spans="1:27" s="199" customFormat="1" x14ac:dyDescent="0.4">
      <c r="A106" s="301" t="s">
        <v>1698</v>
      </c>
      <c r="B106" s="175"/>
      <c r="C106" s="197" t="s">
        <v>1667</v>
      </c>
      <c r="D106" s="175"/>
      <c r="E106" s="175">
        <f>4750 + 5500</f>
        <v>10250</v>
      </c>
      <c r="F106" s="346">
        <v>2</v>
      </c>
      <c r="G106" s="175"/>
      <c r="H106" s="175"/>
      <c r="I106" s="175" t="s">
        <v>1663</v>
      </c>
      <c r="J106" s="175" t="s">
        <v>1065</v>
      </c>
      <c r="K106" s="346"/>
      <c r="L106" s="347"/>
      <c r="M106" s="346"/>
      <c r="N106" s="348"/>
    </row>
    <row r="107" spans="1:27" s="199" customFormat="1" x14ac:dyDescent="0.4">
      <c r="A107" s="308" t="s">
        <v>828</v>
      </c>
      <c r="B107" s="235" t="s">
        <v>829</v>
      </c>
      <c r="C107" s="235" t="s">
        <v>830</v>
      </c>
      <c r="D107" s="235" t="s">
        <v>831</v>
      </c>
      <c r="E107" s="235" t="s">
        <v>817</v>
      </c>
      <c r="F107" s="233" t="s">
        <v>878</v>
      </c>
      <c r="G107" s="233" t="s">
        <v>833</v>
      </c>
      <c r="H107" s="233"/>
      <c r="I107" s="235" t="s">
        <v>819</v>
      </c>
      <c r="J107" s="235" t="s">
        <v>876</v>
      </c>
      <c r="K107" s="233" t="s">
        <v>872</v>
      </c>
      <c r="L107" s="233"/>
      <c r="M107" s="233" t="s">
        <v>877</v>
      </c>
      <c r="N107" s="205"/>
      <c r="O107" s="235" t="s">
        <v>69</v>
      </c>
      <c r="P107" s="235" t="s">
        <v>834</v>
      </c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</row>
    <row r="108" spans="1:27" s="165" customFormat="1" x14ac:dyDescent="0.4">
      <c r="A108" s="311"/>
      <c r="B108" s="172"/>
      <c r="C108" s="172"/>
      <c r="D108" s="172"/>
      <c r="E108" s="172"/>
      <c r="F108" s="162"/>
      <c r="G108" s="172"/>
      <c r="H108" s="172"/>
      <c r="I108" s="172"/>
      <c r="J108" s="172"/>
      <c r="K108" s="162"/>
      <c r="L108" s="17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</row>
    <row r="109" spans="1:27" x14ac:dyDescent="0.4">
      <c r="B109" s="162"/>
      <c r="C109" s="162"/>
    </row>
    <row r="110" spans="1:27" x14ac:dyDescent="0.4">
      <c r="N110" s="162">
        <v>16</v>
      </c>
    </row>
  </sheetData>
  <autoFilter ref="A1:AA107"/>
  <hyperlinks>
    <hyperlink ref="L100" r:id="rId1"/>
    <hyperlink ref="L88" r:id="rId2"/>
    <hyperlink ref="L86" r:id="rId3" display="silky_mittal@executivecentre.com"/>
    <hyperlink ref="L92" r:id="rId4"/>
    <hyperlink ref="L94" r:id="rId5"/>
    <hyperlink ref="L102" r:id="rId6"/>
    <hyperlink ref="L104" r:id="rId7"/>
  </hyperlinks>
  <pageMargins left="0.7" right="0.7" top="0.75" bottom="0.75" header="0.3" footer="0.3"/>
  <pageSetup orientation="portrait" r:id="rId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4"/>
  <sheetViews>
    <sheetView topLeftCell="A118" workbookViewId="0">
      <selection activeCell="A138" sqref="A138"/>
    </sheetView>
  </sheetViews>
  <sheetFormatPr defaultColWidth="28.26953125" defaultRowHeight="14.5" x14ac:dyDescent="0.35"/>
  <cols>
    <col min="1" max="1" width="34.7265625" style="119" bestFit="1" customWidth="1"/>
    <col min="2" max="2" width="9.7265625" style="258" bestFit="1" customWidth="1"/>
    <col min="3" max="3" width="19" style="18" bestFit="1" customWidth="1"/>
    <col min="4" max="4" width="13.26953125" style="18" customWidth="1"/>
    <col min="5" max="5" width="11.54296875" style="18" bestFit="1" customWidth="1"/>
    <col min="6" max="7" width="38.54296875" customWidth="1"/>
    <col min="9" max="9" width="36.1796875" bestFit="1" customWidth="1"/>
  </cols>
  <sheetData>
    <row r="1" spans="1:11" ht="18.75" x14ac:dyDescent="0.3">
      <c r="A1" s="252" t="s">
        <v>1020</v>
      </c>
      <c r="B1" s="256" t="s">
        <v>1024</v>
      </c>
      <c r="C1" s="253" t="s">
        <v>1021</v>
      </c>
      <c r="D1" s="253" t="s">
        <v>1594</v>
      </c>
      <c r="E1" s="253" t="s">
        <v>1357</v>
      </c>
      <c r="F1" s="217" t="s">
        <v>1023</v>
      </c>
      <c r="G1" s="217" t="s">
        <v>1022</v>
      </c>
      <c r="H1" s="217" t="s">
        <v>1025</v>
      </c>
      <c r="I1" s="4"/>
      <c r="J1" s="4"/>
      <c r="K1" s="4"/>
    </row>
    <row r="2" spans="1:11" ht="15" x14ac:dyDescent="0.25">
      <c r="A2" s="287" t="s">
        <v>1356</v>
      </c>
      <c r="B2" s="288">
        <v>46176</v>
      </c>
      <c r="C2" s="313">
        <v>647680685687</v>
      </c>
      <c r="D2" s="313"/>
      <c r="E2" s="18">
        <v>4</v>
      </c>
      <c r="F2" t="s">
        <v>1523</v>
      </c>
      <c r="G2" t="s">
        <v>1525</v>
      </c>
      <c r="H2" t="s">
        <v>1100</v>
      </c>
    </row>
    <row r="3" spans="1:11" ht="15" x14ac:dyDescent="0.25">
      <c r="A3" s="119" t="s">
        <v>1356</v>
      </c>
      <c r="B3" s="288" t="s">
        <v>1090</v>
      </c>
      <c r="C3" s="313">
        <v>678682684</v>
      </c>
      <c r="D3" s="313"/>
      <c r="E3" s="18">
        <v>3</v>
      </c>
      <c r="F3" t="s">
        <v>1524</v>
      </c>
      <c r="G3" t="s">
        <v>1526</v>
      </c>
      <c r="H3" t="s">
        <v>1100</v>
      </c>
    </row>
    <row r="4" spans="1:11" ht="15" x14ac:dyDescent="0.25">
      <c r="A4" s="115" t="s">
        <v>289</v>
      </c>
      <c r="B4" s="257">
        <v>46115</v>
      </c>
      <c r="C4" s="11">
        <v>504</v>
      </c>
      <c r="D4" s="11"/>
      <c r="E4" s="115"/>
      <c r="F4" s="115" t="s">
        <v>1251</v>
      </c>
      <c r="G4" s="115" t="s">
        <v>1252</v>
      </c>
      <c r="H4" s="115" t="s">
        <v>1100</v>
      </c>
      <c r="I4" s="4"/>
      <c r="J4" s="4"/>
      <c r="K4" s="4"/>
    </row>
    <row r="5" spans="1:11" ht="15" x14ac:dyDescent="0.25">
      <c r="A5" s="115" t="s">
        <v>289</v>
      </c>
      <c r="B5" s="257">
        <v>46115</v>
      </c>
      <c r="C5" s="11">
        <v>599</v>
      </c>
      <c r="D5" s="11"/>
      <c r="E5" s="115"/>
      <c r="F5" s="115" t="s">
        <v>1253</v>
      </c>
      <c r="G5" s="115" t="s">
        <v>1056</v>
      </c>
      <c r="H5" s="115" t="s">
        <v>1100</v>
      </c>
      <c r="I5" s="4"/>
      <c r="J5" s="4"/>
      <c r="K5" s="4"/>
    </row>
    <row r="6" spans="1:11" ht="15" x14ac:dyDescent="0.25">
      <c r="A6" s="115" t="s">
        <v>289</v>
      </c>
      <c r="B6" s="257">
        <v>46145</v>
      </c>
      <c r="C6" s="11">
        <v>537</v>
      </c>
      <c r="D6" s="11"/>
      <c r="E6" s="115"/>
      <c r="F6" s="115" t="s">
        <v>1254</v>
      </c>
      <c r="G6" s="115" t="s">
        <v>1056</v>
      </c>
      <c r="H6" s="115" t="s">
        <v>1100</v>
      </c>
      <c r="I6" s="4"/>
      <c r="J6" s="4"/>
      <c r="K6" s="4"/>
    </row>
    <row r="7" spans="1:11" ht="15" x14ac:dyDescent="0.25">
      <c r="A7" s="115" t="s">
        <v>289</v>
      </c>
      <c r="B7" s="257">
        <v>46145</v>
      </c>
      <c r="C7" s="11">
        <v>522</v>
      </c>
      <c r="D7" s="11"/>
      <c r="E7" s="115"/>
      <c r="F7" s="115" t="s">
        <v>1255</v>
      </c>
      <c r="G7" s="115" t="s">
        <v>1256</v>
      </c>
      <c r="H7" s="115" t="s">
        <v>1100</v>
      </c>
      <c r="I7" s="4"/>
      <c r="J7" s="4"/>
      <c r="K7" s="4"/>
    </row>
    <row r="8" spans="1:11" ht="15" x14ac:dyDescent="0.25">
      <c r="A8" s="115" t="s">
        <v>289</v>
      </c>
      <c r="B8" s="257">
        <v>46145</v>
      </c>
      <c r="C8" s="11">
        <v>672</v>
      </c>
      <c r="D8" s="11"/>
      <c r="E8" s="115"/>
      <c r="F8" s="115" t="s">
        <v>1257</v>
      </c>
      <c r="G8" s="115" t="s">
        <v>1258</v>
      </c>
      <c r="H8" s="115" t="s">
        <v>1100</v>
      </c>
      <c r="I8" s="4"/>
      <c r="J8" s="4"/>
      <c r="K8" s="4"/>
    </row>
    <row r="9" spans="1:11" ht="15" x14ac:dyDescent="0.25">
      <c r="A9" s="115" t="s">
        <v>289</v>
      </c>
      <c r="B9" s="257">
        <v>46329</v>
      </c>
      <c r="C9" s="11">
        <v>514</v>
      </c>
      <c r="D9" s="11"/>
      <c r="E9" s="115"/>
      <c r="F9" s="115" t="s">
        <v>1259</v>
      </c>
      <c r="G9" s="115" t="s">
        <v>1260</v>
      </c>
      <c r="H9" s="115" t="s">
        <v>1100</v>
      </c>
      <c r="I9" s="4"/>
      <c r="J9" s="4"/>
      <c r="K9" s="4"/>
    </row>
    <row r="10" spans="1:11" ht="15" x14ac:dyDescent="0.25">
      <c r="A10" s="115" t="s">
        <v>409</v>
      </c>
      <c r="B10" s="257">
        <v>46085</v>
      </c>
      <c r="C10" s="11">
        <v>596</v>
      </c>
      <c r="D10" s="11"/>
      <c r="E10" s="115"/>
      <c r="F10" s="115" t="s">
        <v>1261</v>
      </c>
      <c r="G10" s="115"/>
      <c r="H10" s="115"/>
      <c r="I10" s="4"/>
      <c r="J10" s="4"/>
      <c r="K10" s="4"/>
    </row>
    <row r="11" spans="1:11" ht="15" x14ac:dyDescent="0.25">
      <c r="A11" s="115" t="s">
        <v>409</v>
      </c>
      <c r="B11" s="257">
        <v>46085</v>
      </c>
      <c r="C11" s="11" t="s">
        <v>1033</v>
      </c>
      <c r="D11" s="11"/>
      <c r="E11" s="11"/>
      <c r="F11" s="4" t="s">
        <v>1034</v>
      </c>
      <c r="G11" s="4"/>
      <c r="H11" s="4" t="s">
        <v>1035</v>
      </c>
      <c r="I11" s="4"/>
      <c r="J11" s="4"/>
      <c r="K11" s="4"/>
    </row>
    <row r="12" spans="1:11" ht="15" x14ac:dyDescent="0.25">
      <c r="A12" s="115" t="s">
        <v>1048</v>
      </c>
      <c r="B12" s="257">
        <v>46026</v>
      </c>
      <c r="C12" s="11">
        <v>674</v>
      </c>
      <c r="D12" s="11"/>
      <c r="E12" s="11"/>
      <c r="F12" s="4" t="s">
        <v>1049</v>
      </c>
      <c r="G12" s="4" t="s">
        <v>1050</v>
      </c>
      <c r="H12" s="4" t="s">
        <v>1051</v>
      </c>
      <c r="I12" s="4"/>
      <c r="J12" s="4"/>
      <c r="K12" s="4"/>
    </row>
    <row r="13" spans="1:11" ht="15" x14ac:dyDescent="0.25">
      <c r="A13" s="115" t="s">
        <v>1071</v>
      </c>
      <c r="B13" s="257">
        <v>46057</v>
      </c>
      <c r="C13" s="11">
        <v>602</v>
      </c>
      <c r="D13" s="11"/>
      <c r="E13" s="11"/>
      <c r="F13" s="4" t="s">
        <v>1049</v>
      </c>
      <c r="G13" s="4" t="s">
        <v>1050</v>
      </c>
      <c r="H13" s="4" t="s">
        <v>1052</v>
      </c>
      <c r="I13" s="4"/>
      <c r="J13" s="4"/>
      <c r="K13" s="4"/>
    </row>
    <row r="14" spans="1:11" ht="15" x14ac:dyDescent="0.25">
      <c r="A14" s="115" t="s">
        <v>1053</v>
      </c>
      <c r="B14" s="257">
        <v>46085</v>
      </c>
      <c r="C14" s="11"/>
      <c r="D14" s="11"/>
      <c r="E14" s="11"/>
      <c r="F14" s="4" t="s">
        <v>1350</v>
      </c>
      <c r="G14" s="4"/>
      <c r="H14" s="4" t="s">
        <v>1061</v>
      </c>
      <c r="I14" s="4"/>
      <c r="J14" s="4"/>
      <c r="K14" s="4"/>
    </row>
    <row r="15" spans="1:11" ht="15" x14ac:dyDescent="0.25">
      <c r="A15" s="115" t="s">
        <v>1054</v>
      </c>
      <c r="B15" s="257">
        <v>46116</v>
      </c>
      <c r="C15" s="254">
        <v>707708709</v>
      </c>
      <c r="D15" s="254"/>
      <c r="E15" s="254"/>
      <c r="F15" s="4" t="s">
        <v>1055</v>
      </c>
      <c r="G15" s="4" t="s">
        <v>1056</v>
      </c>
      <c r="H15" s="4" t="s">
        <v>1052</v>
      </c>
      <c r="I15" s="4"/>
      <c r="J15" s="4"/>
      <c r="K15" s="4"/>
    </row>
    <row r="16" spans="1:11" ht="15" x14ac:dyDescent="0.25">
      <c r="A16" s="115" t="s">
        <v>1144</v>
      </c>
      <c r="B16" s="257">
        <v>39025</v>
      </c>
      <c r="C16" s="254">
        <v>684</v>
      </c>
      <c r="D16" s="254"/>
      <c r="E16" s="254"/>
      <c r="F16" s="4" t="s">
        <v>1145</v>
      </c>
      <c r="G16" s="4" t="s">
        <v>1146</v>
      </c>
      <c r="H16" s="4" t="s">
        <v>1052</v>
      </c>
      <c r="I16" s="4"/>
      <c r="J16" s="4"/>
      <c r="K16" s="4"/>
    </row>
    <row r="17" spans="1:14" ht="15" x14ac:dyDescent="0.25">
      <c r="A17" s="115" t="s">
        <v>1057</v>
      </c>
      <c r="B17" s="257"/>
      <c r="C17" s="11"/>
      <c r="D17" s="11"/>
      <c r="E17" s="11"/>
      <c r="F17" s="4" t="s">
        <v>1058</v>
      </c>
      <c r="G17" s="4"/>
      <c r="H17" s="4" t="s">
        <v>1052</v>
      </c>
      <c r="I17" s="4"/>
      <c r="J17" s="4"/>
      <c r="K17" s="4"/>
    </row>
    <row r="18" spans="1:14" ht="15" x14ac:dyDescent="0.25">
      <c r="A18" s="115" t="s">
        <v>1072</v>
      </c>
      <c r="B18" s="257">
        <v>46207</v>
      </c>
      <c r="C18" s="11">
        <v>700</v>
      </c>
      <c r="D18" s="11"/>
      <c r="E18" s="11"/>
      <c r="F18" s="4" t="s">
        <v>1079</v>
      </c>
      <c r="G18" s="4" t="s">
        <v>1059</v>
      </c>
      <c r="H18" s="4" t="s">
        <v>1328</v>
      </c>
      <c r="I18" s="4"/>
      <c r="J18" s="4"/>
      <c r="K18" s="4"/>
    </row>
    <row r="19" spans="1:14" ht="15" x14ac:dyDescent="0.25">
      <c r="A19" s="115" t="s">
        <v>1060</v>
      </c>
      <c r="B19" s="257">
        <v>46207</v>
      </c>
      <c r="C19" s="11">
        <v>711</v>
      </c>
      <c r="D19" s="11"/>
      <c r="E19" s="11"/>
      <c r="F19" s="4" t="s">
        <v>1055</v>
      </c>
      <c r="G19" s="4" t="s">
        <v>1056</v>
      </c>
      <c r="H19" s="4" t="s">
        <v>1061</v>
      </c>
      <c r="I19" s="4"/>
      <c r="J19" s="4"/>
      <c r="K19" s="4"/>
    </row>
    <row r="20" spans="1:14" ht="15" x14ac:dyDescent="0.25">
      <c r="A20" s="115" t="s">
        <v>1073</v>
      </c>
      <c r="B20" s="257">
        <v>46269</v>
      </c>
      <c r="C20" s="11">
        <v>566</v>
      </c>
      <c r="D20" s="11"/>
      <c r="E20" s="11"/>
      <c r="F20" s="4" t="s">
        <v>1062</v>
      </c>
      <c r="G20" s="4" t="s">
        <v>1056</v>
      </c>
      <c r="H20" s="4" t="s">
        <v>1052</v>
      </c>
      <c r="I20" s="4"/>
      <c r="J20" s="4"/>
      <c r="K20" s="4"/>
      <c r="N20" s="27"/>
    </row>
    <row r="21" spans="1:14" ht="15" x14ac:dyDescent="0.25">
      <c r="A21" s="115" t="s">
        <v>1068</v>
      </c>
      <c r="B21" s="255" t="s">
        <v>1067</v>
      </c>
      <c r="C21" s="11">
        <v>534</v>
      </c>
      <c r="D21" s="11"/>
      <c r="E21" s="11"/>
      <c r="F21" s="4" t="s">
        <v>1069</v>
      </c>
      <c r="G21" s="4" t="s">
        <v>1070</v>
      </c>
      <c r="H21" s="4" t="s">
        <v>1052</v>
      </c>
      <c r="I21" s="4"/>
      <c r="J21" s="4"/>
      <c r="K21" s="4"/>
    </row>
    <row r="22" spans="1:14" ht="15" x14ac:dyDescent="0.25">
      <c r="A22" s="115" t="s">
        <v>1060</v>
      </c>
      <c r="B22" s="255" t="s">
        <v>1067</v>
      </c>
      <c r="C22" s="254">
        <v>710712714715</v>
      </c>
      <c r="D22" s="254"/>
      <c r="E22" s="254"/>
      <c r="F22" s="4" t="s">
        <v>1055</v>
      </c>
      <c r="G22" s="4" t="s">
        <v>1056</v>
      </c>
      <c r="H22" s="4" t="s">
        <v>1052</v>
      </c>
      <c r="I22" s="4"/>
      <c r="J22" s="4"/>
      <c r="K22" s="4"/>
    </row>
    <row r="23" spans="1:14" ht="15" x14ac:dyDescent="0.25">
      <c r="A23" s="115" t="s">
        <v>1083</v>
      </c>
      <c r="B23" s="255" t="s">
        <v>1082</v>
      </c>
      <c r="C23" s="11" t="s">
        <v>1081</v>
      </c>
      <c r="D23" s="11"/>
      <c r="E23" s="11"/>
      <c r="F23" s="4" t="s">
        <v>1084</v>
      </c>
      <c r="G23" s="4" t="s">
        <v>1085</v>
      </c>
      <c r="H23" s="4" t="s">
        <v>1052</v>
      </c>
      <c r="I23" s="4"/>
      <c r="J23" s="4"/>
      <c r="K23" s="4"/>
    </row>
    <row r="24" spans="1:14" ht="15" x14ac:dyDescent="0.25">
      <c r="A24" s="115" t="s">
        <v>1086</v>
      </c>
      <c r="B24" s="255" t="s">
        <v>1082</v>
      </c>
      <c r="C24" s="11">
        <v>646</v>
      </c>
      <c r="D24" s="11"/>
      <c r="E24" s="11"/>
      <c r="F24" s="4" t="s">
        <v>1087</v>
      </c>
      <c r="G24" s="4" t="s">
        <v>1088</v>
      </c>
      <c r="H24" s="4" t="s">
        <v>1052</v>
      </c>
      <c r="I24" s="4"/>
      <c r="J24" s="4"/>
      <c r="K24" s="4"/>
    </row>
    <row r="25" spans="1:14" ht="15" x14ac:dyDescent="0.25">
      <c r="A25" s="115" t="s">
        <v>409</v>
      </c>
      <c r="B25" s="255" t="s">
        <v>1082</v>
      </c>
      <c r="C25" s="11">
        <v>545</v>
      </c>
      <c r="D25" s="11"/>
      <c r="E25" s="11"/>
      <c r="F25" s="4" t="s">
        <v>1099</v>
      </c>
      <c r="G25" s="4" t="s">
        <v>1165</v>
      </c>
      <c r="H25" s="4" t="s">
        <v>1100</v>
      </c>
      <c r="I25" s="4"/>
      <c r="J25" s="4"/>
      <c r="K25" s="4"/>
    </row>
    <row r="26" spans="1:14" ht="15" x14ac:dyDescent="0.25">
      <c r="A26" s="115" t="s">
        <v>1098</v>
      </c>
      <c r="B26" s="255" t="s">
        <v>1094</v>
      </c>
      <c r="C26" s="11">
        <v>545</v>
      </c>
      <c r="D26" s="11"/>
      <c r="E26" s="11"/>
      <c r="F26" s="4" t="s">
        <v>1099</v>
      </c>
      <c r="G26" s="4" t="s">
        <v>1165</v>
      </c>
      <c r="H26" s="4" t="s">
        <v>1052</v>
      </c>
      <c r="I26" s="4"/>
      <c r="J26" s="4"/>
      <c r="K26" s="4"/>
    </row>
    <row r="27" spans="1:14" ht="15" x14ac:dyDescent="0.25">
      <c r="A27" s="115" t="s">
        <v>1102</v>
      </c>
      <c r="B27" s="255" t="s">
        <v>1094</v>
      </c>
      <c r="C27" s="11">
        <v>678</v>
      </c>
      <c r="D27" s="11"/>
      <c r="E27" s="11"/>
      <c r="F27" s="4" t="s">
        <v>1103</v>
      </c>
      <c r="G27" s="4" t="s">
        <v>1101</v>
      </c>
      <c r="H27" s="4" t="s">
        <v>1052</v>
      </c>
      <c r="I27" s="4"/>
      <c r="J27" s="4"/>
      <c r="K27" s="4"/>
    </row>
    <row r="28" spans="1:14" ht="14.25" customHeight="1" x14ac:dyDescent="0.25">
      <c r="A28" s="115" t="s">
        <v>1097</v>
      </c>
      <c r="B28" s="255" t="s">
        <v>1094</v>
      </c>
      <c r="C28" s="11">
        <v>670</v>
      </c>
      <c r="D28" s="11"/>
      <c r="E28" s="11"/>
      <c r="F28" s="4" t="s">
        <v>1104</v>
      </c>
      <c r="G28" s="4" t="s">
        <v>1105</v>
      </c>
      <c r="H28" s="4" t="s">
        <v>1052</v>
      </c>
      <c r="I28" s="4"/>
      <c r="J28" s="4"/>
      <c r="K28" s="4"/>
      <c r="L28" s="27"/>
    </row>
    <row r="29" spans="1:14" ht="15" x14ac:dyDescent="0.25">
      <c r="A29" s="115" t="s">
        <v>1107</v>
      </c>
      <c r="B29" s="255" t="s">
        <v>1094</v>
      </c>
      <c r="C29" s="11">
        <v>513</v>
      </c>
      <c r="D29" s="11"/>
      <c r="E29" s="11"/>
      <c r="F29" s="4" t="s">
        <v>1104</v>
      </c>
      <c r="G29" s="4"/>
      <c r="H29" s="4" t="s">
        <v>1100</v>
      </c>
      <c r="I29" s="4"/>
      <c r="J29" s="4"/>
      <c r="K29" s="4"/>
    </row>
    <row r="30" spans="1:14" ht="15" x14ac:dyDescent="0.25">
      <c r="A30" s="115" t="s">
        <v>1138</v>
      </c>
      <c r="B30" s="255" t="s">
        <v>1094</v>
      </c>
      <c r="C30" s="11" t="s">
        <v>1108</v>
      </c>
      <c r="D30" s="11"/>
      <c r="E30" s="11"/>
      <c r="F30" s="4" t="s">
        <v>1049</v>
      </c>
      <c r="G30" s="4" t="s">
        <v>1109</v>
      </c>
      <c r="H30" s="4" t="s">
        <v>1052</v>
      </c>
      <c r="I30" s="4"/>
      <c r="J30" s="4"/>
      <c r="K30" s="4"/>
    </row>
    <row r="31" spans="1:14" ht="15" x14ac:dyDescent="0.25">
      <c r="A31" s="115" t="s">
        <v>289</v>
      </c>
      <c r="B31" s="255" t="s">
        <v>1110</v>
      </c>
      <c r="C31" s="11">
        <v>715</v>
      </c>
      <c r="D31" s="11"/>
      <c r="E31" s="11"/>
      <c r="F31" s="4" t="s">
        <v>1113</v>
      </c>
      <c r="G31" s="4" t="s">
        <v>1111</v>
      </c>
      <c r="H31" s="4" t="s">
        <v>1112</v>
      </c>
      <c r="I31" s="4"/>
      <c r="J31" s="4"/>
      <c r="K31" s="4"/>
    </row>
    <row r="32" spans="1:14" ht="15" x14ac:dyDescent="0.25">
      <c r="A32" s="115" t="s">
        <v>289</v>
      </c>
      <c r="B32" s="255" t="s">
        <v>1110</v>
      </c>
      <c r="C32" s="11">
        <v>582</v>
      </c>
      <c r="D32" s="11"/>
      <c r="E32" s="11"/>
      <c r="F32" s="4" t="s">
        <v>1114</v>
      </c>
      <c r="G32" s="272" t="s">
        <v>1056</v>
      </c>
      <c r="H32" s="4" t="s">
        <v>1100</v>
      </c>
      <c r="I32" s="4"/>
      <c r="J32" s="4"/>
      <c r="K32" s="4"/>
    </row>
    <row r="33" spans="1:11" ht="15" x14ac:dyDescent="0.25">
      <c r="A33" s="115" t="s">
        <v>405</v>
      </c>
      <c r="B33" s="255" t="s">
        <v>1110</v>
      </c>
      <c r="C33" s="11">
        <v>535</v>
      </c>
      <c r="D33" s="11"/>
      <c r="E33" s="11"/>
      <c r="F33" s="4" t="s">
        <v>1115</v>
      </c>
      <c r="G33" s="4" t="s">
        <v>1056</v>
      </c>
      <c r="H33" s="4" t="s">
        <v>1100</v>
      </c>
      <c r="I33" s="4"/>
      <c r="J33" s="4"/>
      <c r="K33" s="4"/>
    </row>
    <row r="34" spans="1:11" ht="15" x14ac:dyDescent="0.25">
      <c r="A34" s="115" t="s">
        <v>1116</v>
      </c>
      <c r="B34" s="255" t="s">
        <v>1110</v>
      </c>
      <c r="C34" s="254">
        <v>535582</v>
      </c>
      <c r="D34" s="254"/>
      <c r="E34" s="254"/>
      <c r="F34" s="4" t="s">
        <v>1117</v>
      </c>
      <c r="G34" s="4" t="s">
        <v>1056</v>
      </c>
      <c r="H34" s="4" t="s">
        <v>1051</v>
      </c>
      <c r="I34" s="4"/>
      <c r="J34" s="4"/>
      <c r="K34" s="4"/>
    </row>
    <row r="35" spans="1:11" ht="15" x14ac:dyDescent="0.25">
      <c r="A35" s="115" t="s">
        <v>1118</v>
      </c>
      <c r="B35" s="255" t="s">
        <v>1110</v>
      </c>
      <c r="C35" s="11">
        <v>605</v>
      </c>
      <c r="D35" s="11"/>
      <c r="E35" s="11"/>
      <c r="F35" s="4" t="s">
        <v>1104</v>
      </c>
      <c r="G35" s="4" t="s">
        <v>1119</v>
      </c>
      <c r="H35" s="4" t="s">
        <v>1052</v>
      </c>
      <c r="I35" s="4"/>
      <c r="J35" s="4"/>
      <c r="K35" s="4"/>
    </row>
    <row r="36" spans="1:11" ht="15" x14ac:dyDescent="0.25">
      <c r="A36" s="115" t="s">
        <v>1120</v>
      </c>
      <c r="B36" s="255" t="s">
        <v>1110</v>
      </c>
      <c r="C36" s="254">
        <v>682692</v>
      </c>
      <c r="D36" s="254"/>
      <c r="E36" s="254"/>
      <c r="F36" s="4" t="s">
        <v>1113</v>
      </c>
      <c r="G36" s="4" t="s">
        <v>1121</v>
      </c>
      <c r="H36" s="4"/>
      <c r="I36" s="4"/>
      <c r="J36" s="4"/>
      <c r="K36" s="4"/>
    </row>
    <row r="37" spans="1:11" ht="15" x14ac:dyDescent="0.25">
      <c r="A37" s="115" t="s">
        <v>604</v>
      </c>
      <c r="B37" s="255" t="s">
        <v>1110</v>
      </c>
      <c r="C37" s="11">
        <v>645</v>
      </c>
      <c r="D37" s="289"/>
      <c r="E37" s="289"/>
      <c r="F37" s="272" t="s">
        <v>1113</v>
      </c>
      <c r="G37" s="4" t="s">
        <v>1122</v>
      </c>
      <c r="H37" s="4"/>
      <c r="I37" s="4"/>
      <c r="J37" s="4"/>
      <c r="K37" s="4"/>
    </row>
    <row r="38" spans="1:11" ht="15" x14ac:dyDescent="0.25">
      <c r="A38" s="115" t="s">
        <v>1125</v>
      </c>
      <c r="B38" s="255" t="s">
        <v>1124</v>
      </c>
      <c r="C38" s="254">
        <v>561680</v>
      </c>
      <c r="D38" s="254"/>
      <c r="E38" s="254"/>
      <c r="F38" s="4" t="s">
        <v>1128</v>
      </c>
      <c r="G38" s="4" t="s">
        <v>1126</v>
      </c>
      <c r="H38" s="4" t="s">
        <v>1127</v>
      </c>
      <c r="I38" s="4"/>
      <c r="J38" s="4"/>
      <c r="K38" s="4"/>
    </row>
    <row r="39" spans="1:11" ht="15" x14ac:dyDescent="0.25">
      <c r="A39" s="115" t="s">
        <v>1130</v>
      </c>
      <c r="B39" s="255"/>
      <c r="C39" s="11">
        <v>512</v>
      </c>
      <c r="D39" s="11"/>
      <c r="E39" s="11"/>
      <c r="F39" s="4" t="s">
        <v>1131</v>
      </c>
      <c r="G39" s="4" t="s">
        <v>1101</v>
      </c>
      <c r="H39" s="4" t="s">
        <v>1132</v>
      </c>
      <c r="I39" s="4"/>
      <c r="J39" s="4"/>
      <c r="K39" s="4"/>
    </row>
    <row r="40" spans="1:11" ht="15" x14ac:dyDescent="0.25">
      <c r="A40" s="115" t="s">
        <v>1134</v>
      </c>
      <c r="B40" s="255" t="s">
        <v>1133</v>
      </c>
      <c r="C40" s="11">
        <v>680</v>
      </c>
      <c r="D40" s="11"/>
      <c r="E40" s="11"/>
      <c r="F40" s="4" t="s">
        <v>1142</v>
      </c>
      <c r="G40" s="4" t="s">
        <v>1135</v>
      </c>
      <c r="H40" s="4" t="s">
        <v>1136</v>
      </c>
      <c r="I40" s="4"/>
      <c r="J40" s="4"/>
      <c r="K40" s="4"/>
    </row>
    <row r="41" spans="1:11" ht="15" x14ac:dyDescent="0.25">
      <c r="A41" s="115" t="s">
        <v>1137</v>
      </c>
      <c r="B41" s="255" t="s">
        <v>1133</v>
      </c>
      <c r="C41" s="11">
        <v>700</v>
      </c>
      <c r="D41" s="11"/>
      <c r="E41" s="11"/>
      <c r="F41" s="4" t="s">
        <v>1147</v>
      </c>
      <c r="G41" s="4" t="s">
        <v>1129</v>
      </c>
      <c r="H41" s="4" t="s">
        <v>1052</v>
      </c>
      <c r="I41" s="4"/>
      <c r="J41" s="4"/>
      <c r="K41" s="4"/>
    </row>
    <row r="42" spans="1:11" ht="15" x14ac:dyDescent="0.25">
      <c r="A42" s="115" t="s">
        <v>1141</v>
      </c>
      <c r="B42" s="255" t="s">
        <v>1133</v>
      </c>
      <c r="C42" s="11">
        <v>647</v>
      </c>
      <c r="D42" s="11"/>
      <c r="E42" s="11"/>
      <c r="F42" s="4" t="s">
        <v>1143</v>
      </c>
      <c r="G42" s="4" t="s">
        <v>1101</v>
      </c>
      <c r="H42" s="4" t="s">
        <v>1100</v>
      </c>
      <c r="I42" s="4"/>
      <c r="J42" s="4"/>
      <c r="K42" s="4"/>
    </row>
    <row r="43" spans="1:11" ht="15" x14ac:dyDescent="0.25">
      <c r="A43" s="115" t="s">
        <v>409</v>
      </c>
      <c r="B43" s="255" t="s">
        <v>1149</v>
      </c>
      <c r="C43" s="11">
        <v>647</v>
      </c>
      <c r="D43" s="11"/>
      <c r="E43" s="11"/>
      <c r="F43" s="4" t="s">
        <v>1143</v>
      </c>
      <c r="G43" s="4" t="s">
        <v>1101</v>
      </c>
      <c r="H43" s="4" t="s">
        <v>1160</v>
      </c>
      <c r="I43" s="4"/>
      <c r="J43" s="4"/>
      <c r="K43" s="4"/>
    </row>
    <row r="44" spans="1:11" ht="15" x14ac:dyDescent="0.25">
      <c r="A44" s="115" t="s">
        <v>1153</v>
      </c>
      <c r="B44" s="255" t="s">
        <v>1154</v>
      </c>
      <c r="C44" s="11">
        <v>717</v>
      </c>
      <c r="D44" s="11"/>
      <c r="E44" s="11"/>
      <c r="F44" s="4" t="s">
        <v>1155</v>
      </c>
      <c r="G44" s="4" t="s">
        <v>1156</v>
      </c>
      <c r="H44" s="4" t="s">
        <v>1052</v>
      </c>
      <c r="I44" s="4"/>
      <c r="J44" s="4"/>
      <c r="K44" s="4"/>
    </row>
    <row r="45" spans="1:11" ht="15" x14ac:dyDescent="0.25">
      <c r="A45" s="115" t="s">
        <v>1157</v>
      </c>
      <c r="B45" s="255" t="s">
        <v>1154</v>
      </c>
      <c r="C45" s="11">
        <v>713</v>
      </c>
      <c r="D45" s="11"/>
      <c r="E45" s="11"/>
      <c r="F45" s="4" t="s">
        <v>1158</v>
      </c>
      <c r="G45" s="4" t="s">
        <v>1159</v>
      </c>
      <c r="H45" s="4" t="s">
        <v>1160</v>
      </c>
      <c r="I45" s="4"/>
      <c r="J45" s="4"/>
      <c r="K45" s="4"/>
    </row>
    <row r="46" spans="1:11" ht="15" x14ac:dyDescent="0.25">
      <c r="A46" s="115" t="s">
        <v>1161</v>
      </c>
      <c r="B46" s="255" t="s">
        <v>1150</v>
      </c>
      <c r="C46" s="11">
        <v>561</v>
      </c>
      <c r="D46" s="11"/>
      <c r="E46" s="11"/>
      <c r="F46" s="4" t="s">
        <v>1162</v>
      </c>
      <c r="G46" s="4" t="s">
        <v>1163</v>
      </c>
      <c r="H46" s="4" t="s">
        <v>1164</v>
      </c>
      <c r="I46" s="4"/>
      <c r="J46" s="4"/>
      <c r="K46" s="4"/>
    </row>
    <row r="47" spans="1:11" ht="15" x14ac:dyDescent="0.25">
      <c r="A47" s="275" t="s">
        <v>1241</v>
      </c>
      <c r="B47" s="255" t="s">
        <v>1166</v>
      </c>
      <c r="C47" s="11">
        <v>523</v>
      </c>
      <c r="D47" s="11"/>
      <c r="E47" s="11"/>
      <c r="F47" s="4" t="s">
        <v>1242</v>
      </c>
      <c r="G47" s="4" t="s">
        <v>1246</v>
      </c>
      <c r="H47" s="4" t="s">
        <v>1243</v>
      </c>
      <c r="I47" s="4"/>
      <c r="J47" s="4"/>
      <c r="K47" s="4"/>
    </row>
    <row r="48" spans="1:11" ht="15" x14ac:dyDescent="0.25">
      <c r="A48" s="119" t="s">
        <v>1238</v>
      </c>
      <c r="B48" s="255" t="s">
        <v>1166</v>
      </c>
      <c r="C48" s="11">
        <v>645</v>
      </c>
      <c r="D48" s="11"/>
      <c r="E48" s="11"/>
      <c r="F48" s="4" t="s">
        <v>1113</v>
      </c>
      <c r="G48" s="4" t="s">
        <v>1239</v>
      </c>
      <c r="H48" s="4" t="s">
        <v>1240</v>
      </c>
      <c r="I48" s="4"/>
      <c r="J48" s="4"/>
      <c r="K48" s="4"/>
    </row>
    <row r="49" spans="1:11" ht="15" x14ac:dyDescent="0.25">
      <c r="A49" s="115" t="s">
        <v>559</v>
      </c>
      <c r="B49" s="255" t="s">
        <v>1245</v>
      </c>
      <c r="C49" s="11">
        <v>692</v>
      </c>
      <c r="D49" s="11"/>
      <c r="E49" s="11"/>
      <c r="F49" s="4" t="s">
        <v>1113</v>
      </c>
      <c r="G49" s="4" t="s">
        <v>1247</v>
      </c>
      <c r="H49" s="4" t="s">
        <v>1243</v>
      </c>
      <c r="I49" s="4" t="s">
        <v>1305</v>
      </c>
      <c r="J49" s="4"/>
      <c r="K49" s="4"/>
    </row>
    <row r="50" spans="1:11" ht="15" x14ac:dyDescent="0.25">
      <c r="A50" s="115" t="s">
        <v>1248</v>
      </c>
      <c r="B50" s="255" t="s">
        <v>1245</v>
      </c>
      <c r="C50" s="11">
        <v>654</v>
      </c>
      <c r="D50" s="11"/>
      <c r="E50" s="11"/>
      <c r="F50" s="4" t="s">
        <v>1249</v>
      </c>
      <c r="G50" s="4" t="s">
        <v>1250</v>
      </c>
      <c r="H50" s="4" t="s">
        <v>1100</v>
      </c>
      <c r="I50" s="4"/>
      <c r="J50" s="4"/>
      <c r="K50" s="4"/>
    </row>
    <row r="51" spans="1:11" ht="15" x14ac:dyDescent="0.25">
      <c r="A51" s="115" t="s">
        <v>559</v>
      </c>
      <c r="B51" s="255" t="s">
        <v>1245</v>
      </c>
      <c r="C51" s="11">
        <v>547</v>
      </c>
      <c r="D51" s="11"/>
      <c r="E51" s="11"/>
      <c r="F51" s="4" t="s">
        <v>1262</v>
      </c>
      <c r="G51" s="4" t="s">
        <v>1129</v>
      </c>
      <c r="H51" s="4" t="s">
        <v>1100</v>
      </c>
      <c r="I51" s="4"/>
      <c r="J51" s="4"/>
      <c r="K51" s="4"/>
    </row>
    <row r="52" spans="1:11" ht="15" x14ac:dyDescent="0.25">
      <c r="A52" s="115" t="s">
        <v>405</v>
      </c>
      <c r="B52" s="255" t="s">
        <v>1245</v>
      </c>
      <c r="C52" s="11">
        <v>506</v>
      </c>
      <c r="D52" s="11"/>
      <c r="E52" s="11"/>
      <c r="F52" s="4" t="s">
        <v>1251</v>
      </c>
      <c r="G52" s="4" t="s">
        <v>1252</v>
      </c>
      <c r="H52" s="4" t="s">
        <v>1100</v>
      </c>
      <c r="I52" s="4"/>
      <c r="J52" s="4"/>
      <c r="K52" s="4"/>
    </row>
    <row r="53" spans="1:11" ht="15" x14ac:dyDescent="0.25">
      <c r="A53" s="115" t="s">
        <v>1263</v>
      </c>
      <c r="B53" s="255" t="s">
        <v>1245</v>
      </c>
      <c r="C53" s="11"/>
      <c r="D53" s="11"/>
      <c r="E53" s="11"/>
      <c r="F53" s="4" t="s">
        <v>1264</v>
      </c>
      <c r="G53" s="4" t="s">
        <v>1265</v>
      </c>
      <c r="H53" s="4" t="s">
        <v>1266</v>
      </c>
      <c r="I53" s="4"/>
      <c r="J53" s="4"/>
      <c r="K53" s="4"/>
    </row>
    <row r="54" spans="1:11" ht="15" x14ac:dyDescent="0.25">
      <c r="A54" s="115" t="s">
        <v>1267</v>
      </c>
      <c r="B54" s="255" t="s">
        <v>1245</v>
      </c>
      <c r="C54" s="11">
        <v>523</v>
      </c>
      <c r="D54" s="11"/>
      <c r="E54" s="11"/>
      <c r="F54" s="4" t="s">
        <v>1242</v>
      </c>
      <c r="G54" s="4" t="s">
        <v>1250</v>
      </c>
      <c r="H54" s="4" t="s">
        <v>1268</v>
      </c>
      <c r="I54" s="4"/>
      <c r="J54" s="4"/>
      <c r="K54" s="4"/>
    </row>
    <row r="55" spans="1:11" ht="15" x14ac:dyDescent="0.25">
      <c r="A55" s="115" t="s">
        <v>1130</v>
      </c>
      <c r="B55" s="255" t="s">
        <v>1166</v>
      </c>
      <c r="C55" s="11">
        <v>514</v>
      </c>
      <c r="D55" s="11"/>
      <c r="E55" s="11"/>
      <c r="F55" s="4" t="s">
        <v>1131</v>
      </c>
      <c r="G55" s="4" t="s">
        <v>1101</v>
      </c>
      <c r="H55" s="4" t="s">
        <v>1278</v>
      </c>
      <c r="I55" s="4"/>
      <c r="J55" s="4"/>
      <c r="K55" s="4"/>
    </row>
    <row r="56" spans="1:11" ht="15" x14ac:dyDescent="0.25">
      <c r="A56" s="115" t="s">
        <v>1244</v>
      </c>
      <c r="B56" s="255" t="s">
        <v>1245</v>
      </c>
      <c r="C56" s="11">
        <v>514</v>
      </c>
      <c r="D56" s="11"/>
      <c r="E56" s="11"/>
      <c r="F56" s="4" t="s">
        <v>1131</v>
      </c>
      <c r="G56" s="4" t="s">
        <v>1101</v>
      </c>
      <c r="H56" s="4" t="s">
        <v>1290</v>
      </c>
      <c r="I56" s="4"/>
      <c r="J56" s="4"/>
      <c r="K56" s="4"/>
    </row>
    <row r="57" spans="1:11" ht="15" x14ac:dyDescent="0.25">
      <c r="A57" s="115" t="s">
        <v>1248</v>
      </c>
      <c r="B57" s="257">
        <v>46058</v>
      </c>
      <c r="C57" s="11">
        <v>718</v>
      </c>
      <c r="D57" s="11"/>
      <c r="E57" s="11"/>
      <c r="F57" s="4" t="s">
        <v>1347</v>
      </c>
      <c r="G57" s="4" t="s">
        <v>1282</v>
      </c>
      <c r="H57" s="4" t="s">
        <v>1283</v>
      </c>
      <c r="I57" s="4"/>
      <c r="J57" s="4"/>
      <c r="K57" s="4"/>
    </row>
    <row r="58" spans="1:11" ht="15" x14ac:dyDescent="0.25">
      <c r="A58" s="115" t="s">
        <v>1284</v>
      </c>
      <c r="B58" s="257">
        <v>46058</v>
      </c>
      <c r="C58" s="11">
        <v>708</v>
      </c>
      <c r="D58" s="11"/>
      <c r="E58" s="11"/>
      <c r="F58" s="4" t="s">
        <v>1285</v>
      </c>
      <c r="G58" s="4" t="s">
        <v>1252</v>
      </c>
      <c r="H58" s="4" t="s">
        <v>1286</v>
      </c>
      <c r="I58" s="4"/>
      <c r="J58" s="4"/>
      <c r="K58" s="4"/>
    </row>
    <row r="59" spans="1:11" ht="15" x14ac:dyDescent="0.25">
      <c r="A59" s="115" t="s">
        <v>1284</v>
      </c>
      <c r="B59" s="257">
        <v>46058</v>
      </c>
      <c r="C59" s="11">
        <v>708</v>
      </c>
      <c r="D59" s="11"/>
      <c r="E59" s="11"/>
      <c r="F59" s="4" t="s">
        <v>1285</v>
      </c>
      <c r="G59" s="4" t="s">
        <v>1159</v>
      </c>
      <c r="H59" s="4" t="s">
        <v>1287</v>
      </c>
      <c r="I59" s="4"/>
      <c r="J59" s="4"/>
      <c r="K59" s="4"/>
    </row>
    <row r="60" spans="1:11" ht="15" x14ac:dyDescent="0.25">
      <c r="A60" s="115" t="s">
        <v>1288</v>
      </c>
      <c r="B60" s="257">
        <v>46058</v>
      </c>
      <c r="C60" s="11">
        <v>719</v>
      </c>
      <c r="D60" s="11"/>
      <c r="E60" s="11"/>
      <c r="F60" s="4" t="s">
        <v>1289</v>
      </c>
      <c r="G60" s="4" t="s">
        <v>1163</v>
      </c>
      <c r="H60" s="4" t="s">
        <v>1052</v>
      </c>
      <c r="I60" s="4"/>
      <c r="J60" s="4"/>
      <c r="K60" s="4"/>
    </row>
    <row r="61" spans="1:11" ht="15" x14ac:dyDescent="0.25">
      <c r="A61" s="115" t="s">
        <v>409</v>
      </c>
      <c r="B61" s="257">
        <v>46117</v>
      </c>
      <c r="C61" s="11">
        <v>721</v>
      </c>
      <c r="D61" s="11"/>
      <c r="E61" s="11"/>
      <c r="F61" s="4" t="s">
        <v>1292</v>
      </c>
      <c r="G61" s="4" t="s">
        <v>1293</v>
      </c>
      <c r="H61" s="4" t="s">
        <v>1294</v>
      </c>
      <c r="I61" s="4"/>
      <c r="J61" s="4"/>
      <c r="K61" s="4"/>
    </row>
    <row r="62" spans="1:11" ht="15" x14ac:dyDescent="0.25">
      <c r="A62" s="115" t="s">
        <v>201</v>
      </c>
      <c r="B62" s="257">
        <v>46117</v>
      </c>
      <c r="C62" s="11">
        <v>506</v>
      </c>
      <c r="D62" s="11"/>
      <c r="E62" s="11"/>
      <c r="F62" s="4" t="s">
        <v>1295</v>
      </c>
      <c r="G62" s="4" t="s">
        <v>1296</v>
      </c>
      <c r="H62" s="4" t="s">
        <v>1297</v>
      </c>
      <c r="I62" s="4"/>
      <c r="J62" s="4"/>
      <c r="K62" s="4"/>
    </row>
    <row r="63" spans="1:11" ht="15" x14ac:dyDescent="0.25">
      <c r="A63" s="115" t="s">
        <v>1298</v>
      </c>
      <c r="B63" s="257">
        <v>46117</v>
      </c>
      <c r="C63" s="11">
        <v>720</v>
      </c>
      <c r="D63" s="11"/>
      <c r="E63" s="11"/>
      <c r="F63" s="4" t="s">
        <v>1299</v>
      </c>
      <c r="G63" s="4" t="s">
        <v>1300</v>
      </c>
      <c r="H63" s="4" t="s">
        <v>1052</v>
      </c>
      <c r="I63" s="4"/>
      <c r="J63" s="4"/>
      <c r="K63" s="4"/>
    </row>
    <row r="64" spans="1:11" ht="15" x14ac:dyDescent="0.25">
      <c r="A64" s="115" t="s">
        <v>1301</v>
      </c>
      <c r="B64" s="257">
        <v>46147</v>
      </c>
      <c r="C64" s="11" t="s">
        <v>1306</v>
      </c>
      <c r="D64" s="11"/>
      <c r="E64" s="11"/>
      <c r="F64" s="4" t="s">
        <v>1302</v>
      </c>
      <c r="G64" s="4" t="s">
        <v>1303</v>
      </c>
      <c r="H64" s="4" t="s">
        <v>1052</v>
      </c>
      <c r="I64" s="4"/>
      <c r="J64" s="4"/>
      <c r="K64" s="4"/>
    </row>
    <row r="65" spans="1:11" ht="15" x14ac:dyDescent="0.25">
      <c r="A65" s="115" t="s">
        <v>1097</v>
      </c>
      <c r="B65" s="257">
        <v>46147</v>
      </c>
      <c r="C65" s="11">
        <v>670</v>
      </c>
      <c r="D65" s="11"/>
      <c r="E65" s="11"/>
      <c r="F65" s="4" t="s">
        <v>1104</v>
      </c>
      <c r="G65" s="4" t="s">
        <v>1105</v>
      </c>
      <c r="H65" s="4" t="s">
        <v>1100</v>
      </c>
      <c r="I65" s="4"/>
      <c r="J65" s="4"/>
      <c r="K65" s="4"/>
    </row>
    <row r="66" spans="1:11" ht="15" x14ac:dyDescent="0.25">
      <c r="A66" s="115" t="s">
        <v>1309</v>
      </c>
      <c r="B66" s="257">
        <v>46147</v>
      </c>
      <c r="C66" s="11" t="s">
        <v>1310</v>
      </c>
      <c r="D66" s="11"/>
      <c r="E66" s="11"/>
      <c r="F66" s="4" t="s">
        <v>1311</v>
      </c>
      <c r="G66" s="4"/>
      <c r="H66" s="4" t="s">
        <v>1052</v>
      </c>
      <c r="I66" s="4"/>
      <c r="J66" s="4"/>
      <c r="K66" s="4"/>
    </row>
    <row r="67" spans="1:11" ht="15" x14ac:dyDescent="0.25">
      <c r="A67" s="115" t="s">
        <v>409</v>
      </c>
      <c r="B67" s="257">
        <v>46178</v>
      </c>
      <c r="C67" s="11">
        <v>670</v>
      </c>
      <c r="D67" s="11"/>
      <c r="E67" s="11"/>
      <c r="F67" s="4" t="s">
        <v>1307</v>
      </c>
      <c r="G67" s="4" t="s">
        <v>1105</v>
      </c>
      <c r="H67" s="4" t="s">
        <v>1308</v>
      </c>
      <c r="I67" s="4"/>
      <c r="J67" s="4"/>
      <c r="K67" s="4"/>
    </row>
    <row r="68" spans="1:11" ht="15" x14ac:dyDescent="0.25">
      <c r="A68" s="115" t="s">
        <v>1137</v>
      </c>
      <c r="B68" s="257">
        <v>46178</v>
      </c>
      <c r="C68" s="11">
        <v>700</v>
      </c>
      <c r="D68" s="11"/>
      <c r="E68" s="11"/>
      <c r="F68" s="4" t="s">
        <v>1147</v>
      </c>
      <c r="G68" s="4" t="s">
        <v>1129</v>
      </c>
      <c r="H68" s="4" t="s">
        <v>1100</v>
      </c>
      <c r="I68" s="4"/>
      <c r="J68" s="4"/>
      <c r="K68" s="4"/>
    </row>
    <row r="69" spans="1:11" ht="15" x14ac:dyDescent="0.25">
      <c r="A69" s="115" t="s">
        <v>1312</v>
      </c>
      <c r="B69" s="257">
        <v>46178</v>
      </c>
      <c r="C69" s="11">
        <v>569</v>
      </c>
      <c r="D69" s="11"/>
      <c r="E69" s="11"/>
      <c r="F69" s="4" t="s">
        <v>1313</v>
      </c>
      <c r="G69" s="4" t="s">
        <v>1314</v>
      </c>
      <c r="H69" s="4" t="s">
        <v>1100</v>
      </c>
      <c r="I69" s="4"/>
      <c r="J69" s="4"/>
      <c r="K69" s="4"/>
    </row>
    <row r="70" spans="1:11" ht="15" x14ac:dyDescent="0.25">
      <c r="A70" s="115" t="s">
        <v>559</v>
      </c>
      <c r="B70" s="257">
        <v>46178</v>
      </c>
      <c r="C70" s="11">
        <v>692</v>
      </c>
      <c r="D70" s="11"/>
      <c r="E70" s="11"/>
      <c r="F70" s="4" t="s">
        <v>1113</v>
      </c>
      <c r="G70" s="4" t="s">
        <v>1315</v>
      </c>
      <c r="H70" s="4" t="s">
        <v>1316</v>
      </c>
      <c r="I70" s="4"/>
      <c r="J70" s="4"/>
      <c r="K70" s="4"/>
    </row>
    <row r="71" spans="1:11" ht="15" x14ac:dyDescent="0.25">
      <c r="A71" s="115" t="s">
        <v>559</v>
      </c>
      <c r="B71" s="257">
        <v>46178</v>
      </c>
      <c r="C71" s="11">
        <v>722</v>
      </c>
      <c r="D71" s="11"/>
      <c r="E71" s="11"/>
      <c r="F71" s="4" t="s">
        <v>1113</v>
      </c>
      <c r="G71" s="4" t="s">
        <v>1317</v>
      </c>
      <c r="H71" s="4" t="s">
        <v>1100</v>
      </c>
      <c r="I71" s="4"/>
      <c r="J71" s="4"/>
      <c r="K71" s="4"/>
    </row>
    <row r="72" spans="1:11" ht="15" x14ac:dyDescent="0.25">
      <c r="A72" s="115" t="s">
        <v>1323</v>
      </c>
      <c r="B72" s="257">
        <v>46178</v>
      </c>
      <c r="C72" s="11">
        <v>723</v>
      </c>
      <c r="D72" s="11"/>
      <c r="E72" s="11"/>
      <c r="F72" s="4" t="s">
        <v>1322</v>
      </c>
      <c r="G72" s="4" t="s">
        <v>1056</v>
      </c>
      <c r="H72" s="4" t="s">
        <v>1100</v>
      </c>
      <c r="I72" s="4"/>
      <c r="J72" s="4"/>
      <c r="K72" s="4"/>
    </row>
    <row r="73" spans="1:11" ht="15" x14ac:dyDescent="0.25">
      <c r="A73" s="115" t="s">
        <v>519</v>
      </c>
      <c r="B73" s="257">
        <v>46178</v>
      </c>
      <c r="C73" s="11">
        <v>591</v>
      </c>
      <c r="D73" s="11"/>
      <c r="E73" s="11"/>
      <c r="F73" s="4" t="s">
        <v>1318</v>
      </c>
      <c r="G73" s="4" t="s">
        <v>1247</v>
      </c>
      <c r="H73" s="4" t="s">
        <v>1100</v>
      </c>
      <c r="I73" s="4"/>
      <c r="J73" s="4"/>
      <c r="K73" s="4"/>
    </row>
    <row r="74" spans="1:11" ht="15" x14ac:dyDescent="0.25">
      <c r="A74" s="115" t="s">
        <v>519</v>
      </c>
      <c r="B74" s="257">
        <v>46208</v>
      </c>
      <c r="C74" s="11">
        <v>722</v>
      </c>
      <c r="D74" s="11"/>
      <c r="E74" s="11"/>
      <c r="F74" s="4" t="s">
        <v>1318</v>
      </c>
      <c r="G74" s="4" t="s">
        <v>1247</v>
      </c>
      <c r="H74" s="4" t="s">
        <v>1353</v>
      </c>
      <c r="I74" s="4"/>
      <c r="J74" s="4"/>
      <c r="K74" s="4"/>
    </row>
    <row r="75" spans="1:11" ht="15" x14ac:dyDescent="0.25">
      <c r="A75" s="115" t="s">
        <v>289</v>
      </c>
      <c r="B75" s="257">
        <v>46208</v>
      </c>
      <c r="C75" s="11">
        <v>723</v>
      </c>
      <c r="D75" s="11"/>
      <c r="E75" s="11"/>
      <c r="F75" s="4" t="s">
        <v>1321</v>
      </c>
      <c r="G75" s="4" t="s">
        <v>1056</v>
      </c>
      <c r="H75" s="4" t="s">
        <v>1319</v>
      </c>
      <c r="I75" s="4"/>
      <c r="J75" s="4"/>
      <c r="K75" s="4"/>
    </row>
    <row r="76" spans="1:11" ht="15" x14ac:dyDescent="0.25">
      <c r="A76" s="115" t="s">
        <v>289</v>
      </c>
      <c r="B76" s="257">
        <v>46208</v>
      </c>
      <c r="C76" s="11">
        <v>692</v>
      </c>
      <c r="D76" s="11"/>
      <c r="E76" s="11"/>
      <c r="F76" s="4" t="s">
        <v>1318</v>
      </c>
      <c r="G76" s="4" t="s">
        <v>1293</v>
      </c>
      <c r="H76" s="4" t="s">
        <v>1052</v>
      </c>
      <c r="I76" s="4"/>
      <c r="J76" s="4"/>
      <c r="K76" s="4"/>
    </row>
    <row r="77" spans="1:11" ht="15" x14ac:dyDescent="0.25">
      <c r="A77" s="115" t="s">
        <v>289</v>
      </c>
      <c r="B77" s="257">
        <v>46208</v>
      </c>
      <c r="C77" s="11">
        <v>706</v>
      </c>
      <c r="D77" s="11"/>
      <c r="E77" s="11"/>
      <c r="F77" s="4" t="s">
        <v>1320</v>
      </c>
      <c r="G77" s="4" t="s">
        <v>1056</v>
      </c>
      <c r="H77" s="4" t="s">
        <v>1052</v>
      </c>
      <c r="I77" s="4"/>
      <c r="J77" s="4"/>
      <c r="K77" s="4"/>
    </row>
    <row r="78" spans="1:11" ht="15" x14ac:dyDescent="0.25">
      <c r="A78" s="115" t="s">
        <v>1335</v>
      </c>
      <c r="B78" s="257">
        <v>46208</v>
      </c>
      <c r="C78" s="11">
        <v>570</v>
      </c>
      <c r="D78" s="11"/>
      <c r="E78" s="11"/>
      <c r="F78" s="4" t="s">
        <v>1528</v>
      </c>
      <c r="G78" s="4" t="s">
        <v>1163</v>
      </c>
      <c r="H78" s="4" t="s">
        <v>1052</v>
      </c>
      <c r="I78" s="4"/>
      <c r="J78" s="4"/>
      <c r="K78" s="4"/>
    </row>
    <row r="79" spans="1:11" ht="15" x14ac:dyDescent="0.25">
      <c r="A79" s="115" t="s">
        <v>1336</v>
      </c>
      <c r="B79" s="257">
        <v>46208</v>
      </c>
      <c r="C79" s="11">
        <v>626</v>
      </c>
      <c r="D79" s="11"/>
      <c r="E79" s="11"/>
      <c r="F79" s="4" t="s">
        <v>1318</v>
      </c>
      <c r="G79" s="4" t="s">
        <v>1529</v>
      </c>
      <c r="H79" s="4" t="s">
        <v>1100</v>
      </c>
      <c r="I79" s="4"/>
      <c r="J79" s="4"/>
      <c r="K79" s="4"/>
    </row>
    <row r="80" spans="1:11" ht="15" x14ac:dyDescent="0.25">
      <c r="A80" s="115" t="s">
        <v>1325</v>
      </c>
      <c r="B80" s="257">
        <v>46208</v>
      </c>
      <c r="C80" s="254">
        <v>724725</v>
      </c>
      <c r="D80" s="254"/>
      <c r="E80" s="254"/>
      <c r="F80" s="4" t="s">
        <v>1326</v>
      </c>
      <c r="G80" s="4" t="s">
        <v>1056</v>
      </c>
      <c r="H80" s="4" t="s">
        <v>1100</v>
      </c>
      <c r="I80" s="4"/>
      <c r="J80" s="4"/>
      <c r="K80" s="4"/>
    </row>
    <row r="81" spans="1:11" ht="15" x14ac:dyDescent="0.25">
      <c r="A81" s="115" t="s">
        <v>1134</v>
      </c>
      <c r="B81" s="257">
        <v>46208</v>
      </c>
      <c r="C81" s="11">
        <v>680</v>
      </c>
      <c r="D81" s="11"/>
      <c r="E81" s="11"/>
      <c r="F81" s="4" t="s">
        <v>1327</v>
      </c>
      <c r="G81" s="4" t="s">
        <v>1129</v>
      </c>
      <c r="H81" s="4" t="s">
        <v>1100</v>
      </c>
      <c r="I81" s="4"/>
      <c r="J81" s="4"/>
      <c r="K81" s="4"/>
    </row>
    <row r="82" spans="1:11" ht="15" x14ac:dyDescent="0.25">
      <c r="A82" s="115" t="s">
        <v>1329</v>
      </c>
      <c r="B82" s="257">
        <v>46208</v>
      </c>
      <c r="C82" s="254">
        <v>724725</v>
      </c>
      <c r="D82" s="254"/>
      <c r="E82" s="254"/>
      <c r="F82" s="4" t="s">
        <v>1331</v>
      </c>
      <c r="G82" s="4" t="s">
        <v>1330</v>
      </c>
      <c r="H82" s="4" t="s">
        <v>1052</v>
      </c>
      <c r="I82" s="4"/>
      <c r="J82" s="4"/>
      <c r="K82" s="4"/>
    </row>
    <row r="83" spans="1:11" ht="15" x14ac:dyDescent="0.25">
      <c r="A83" s="115" t="s">
        <v>1385</v>
      </c>
      <c r="B83" s="257">
        <v>46208</v>
      </c>
      <c r="C83" s="254">
        <v>670</v>
      </c>
      <c r="D83" s="254"/>
      <c r="E83" s="254"/>
      <c r="F83" s="4" t="s">
        <v>1386</v>
      </c>
      <c r="G83" s="4" t="s">
        <v>1387</v>
      </c>
      <c r="H83" s="4" t="s">
        <v>1052</v>
      </c>
      <c r="I83" s="4"/>
      <c r="J83" s="4"/>
      <c r="K83" s="4"/>
    </row>
    <row r="84" spans="1:11" ht="15" x14ac:dyDescent="0.25">
      <c r="A84" s="115" t="s">
        <v>1332</v>
      </c>
      <c r="B84" s="257">
        <v>46239</v>
      </c>
      <c r="C84" s="11">
        <v>602</v>
      </c>
      <c r="D84" s="11"/>
      <c r="E84" s="11"/>
      <c r="F84" s="4" t="s">
        <v>1337</v>
      </c>
      <c r="G84" s="4" t="s">
        <v>1109</v>
      </c>
      <c r="H84" s="4" t="s">
        <v>1100</v>
      </c>
      <c r="I84" s="4"/>
      <c r="J84" s="4"/>
      <c r="K84" s="4"/>
    </row>
    <row r="85" spans="1:11" ht="15" x14ac:dyDescent="0.25">
      <c r="A85" s="115" t="s">
        <v>1333</v>
      </c>
      <c r="B85" s="257">
        <v>46239</v>
      </c>
      <c r="C85" s="11">
        <v>681</v>
      </c>
      <c r="D85" s="11"/>
      <c r="E85" s="11"/>
      <c r="F85" s="4" t="s">
        <v>1334</v>
      </c>
      <c r="G85" s="4" t="s">
        <v>1111</v>
      </c>
      <c r="H85" s="4" t="s">
        <v>1100</v>
      </c>
      <c r="I85" s="4"/>
      <c r="J85" s="4"/>
      <c r="K85" s="4"/>
    </row>
    <row r="86" spans="1:11" ht="15" x14ac:dyDescent="0.25">
      <c r="A86" s="115" t="s">
        <v>1349</v>
      </c>
      <c r="B86" s="257">
        <v>46239</v>
      </c>
      <c r="C86" s="11">
        <v>569</v>
      </c>
      <c r="D86" s="11"/>
      <c r="E86" s="11"/>
      <c r="F86" s="4" t="s">
        <v>1313</v>
      </c>
      <c r="G86" s="4" t="s">
        <v>1338</v>
      </c>
      <c r="H86" s="4" t="s">
        <v>1348</v>
      </c>
      <c r="I86" s="4"/>
      <c r="J86" s="4"/>
      <c r="K86" s="4"/>
    </row>
    <row r="87" spans="1:11" ht="15" x14ac:dyDescent="0.25">
      <c r="A87" s="115" t="s">
        <v>1354</v>
      </c>
      <c r="B87" s="257">
        <v>46300</v>
      </c>
      <c r="C87" s="11">
        <v>681</v>
      </c>
      <c r="D87" s="11"/>
      <c r="E87" s="11"/>
      <c r="F87" s="4" t="s">
        <v>1318</v>
      </c>
      <c r="G87" s="4" t="s">
        <v>1355</v>
      </c>
      <c r="H87" s="4" t="s">
        <v>1052</v>
      </c>
      <c r="I87" s="4"/>
      <c r="J87" s="4"/>
      <c r="K87" s="4"/>
    </row>
    <row r="88" spans="1:11" ht="15" x14ac:dyDescent="0.25">
      <c r="A88" s="115" t="s">
        <v>1358</v>
      </c>
      <c r="B88" s="255" t="s">
        <v>1359</v>
      </c>
      <c r="C88" s="254">
        <v>726727728</v>
      </c>
      <c r="D88" s="254"/>
      <c r="E88" s="11"/>
      <c r="F88" s="4" t="s">
        <v>1360</v>
      </c>
      <c r="G88" s="4" t="s">
        <v>1361</v>
      </c>
      <c r="H88" s="4" t="s">
        <v>1052</v>
      </c>
      <c r="I88" s="4"/>
      <c r="J88" s="4"/>
      <c r="K88" s="4"/>
    </row>
    <row r="89" spans="1:11" ht="15" x14ac:dyDescent="0.25">
      <c r="A89" s="115" t="s">
        <v>289</v>
      </c>
      <c r="B89" s="255" t="s">
        <v>1359</v>
      </c>
      <c r="C89" s="11">
        <v>626</v>
      </c>
      <c r="D89" s="11"/>
      <c r="E89" s="11"/>
      <c r="F89" s="4" t="s">
        <v>1362</v>
      </c>
      <c r="G89" s="4" t="s">
        <v>1247</v>
      </c>
      <c r="H89" s="4" t="s">
        <v>1363</v>
      </c>
      <c r="I89" s="4"/>
      <c r="J89" s="4"/>
      <c r="K89" s="4"/>
    </row>
    <row r="90" spans="1:11" ht="15" x14ac:dyDescent="0.25">
      <c r="A90" s="115" t="s">
        <v>1527</v>
      </c>
      <c r="B90" s="255" t="s">
        <v>1373</v>
      </c>
      <c r="C90" s="254">
        <v>709731</v>
      </c>
      <c r="D90" s="254"/>
      <c r="E90" s="11">
        <v>3</v>
      </c>
      <c r="F90" s="4" t="s">
        <v>1549</v>
      </c>
      <c r="G90" s="4" t="s">
        <v>1467</v>
      </c>
      <c r="H90" s="4" t="s">
        <v>1052</v>
      </c>
      <c r="I90" s="4"/>
      <c r="J90" s="4"/>
      <c r="K90" s="4"/>
    </row>
    <row r="91" spans="1:11" ht="15" x14ac:dyDescent="0.25">
      <c r="A91" s="115" t="s">
        <v>1527</v>
      </c>
      <c r="B91" s="255" t="s">
        <v>1373</v>
      </c>
      <c r="C91" s="11">
        <v>733</v>
      </c>
      <c r="D91" s="11"/>
      <c r="E91" s="11"/>
      <c r="F91" s="4" t="s">
        <v>1551</v>
      </c>
      <c r="G91" s="4" t="s">
        <v>1550</v>
      </c>
      <c r="H91" s="4" t="s">
        <v>1052</v>
      </c>
      <c r="I91" s="4"/>
      <c r="J91" s="4"/>
      <c r="K91" s="4"/>
    </row>
    <row r="92" spans="1:11" ht="15" x14ac:dyDescent="0.25">
      <c r="A92" s="115" t="s">
        <v>1378</v>
      </c>
      <c r="B92" s="255" t="s">
        <v>1379</v>
      </c>
      <c r="C92" s="11">
        <v>557</v>
      </c>
      <c r="D92" s="11"/>
      <c r="E92" s="11"/>
      <c r="F92" s="4" t="s">
        <v>1380</v>
      </c>
      <c r="G92" s="4" t="s">
        <v>1381</v>
      </c>
      <c r="H92" s="4" t="s">
        <v>1382</v>
      </c>
      <c r="I92" s="4"/>
      <c r="J92" s="4"/>
      <c r="K92" s="4"/>
    </row>
    <row r="93" spans="1:11" ht="15" x14ac:dyDescent="0.25">
      <c r="A93" s="115" t="s">
        <v>1384</v>
      </c>
      <c r="B93" s="255" t="s">
        <v>1377</v>
      </c>
      <c r="C93" s="11">
        <v>541</v>
      </c>
      <c r="D93" s="11"/>
      <c r="E93" s="11"/>
      <c r="F93" s="4" t="s">
        <v>1383</v>
      </c>
      <c r="G93" s="4" t="s">
        <v>1129</v>
      </c>
      <c r="H93" s="4" t="s">
        <v>1052</v>
      </c>
      <c r="I93" s="4"/>
      <c r="J93" s="4"/>
      <c r="K93" s="4"/>
    </row>
    <row r="94" spans="1:11" ht="15" x14ac:dyDescent="0.25">
      <c r="A94" s="115" t="s">
        <v>1430</v>
      </c>
      <c r="B94" s="255" t="s">
        <v>1413</v>
      </c>
      <c r="C94" s="11">
        <v>644</v>
      </c>
      <c r="D94" s="11"/>
      <c r="E94" s="11"/>
      <c r="F94" s="4" t="s">
        <v>1435</v>
      </c>
      <c r="G94" s="4" t="s">
        <v>1119</v>
      </c>
      <c r="H94" s="4" t="s">
        <v>1052</v>
      </c>
      <c r="I94" s="4"/>
      <c r="J94" s="4"/>
      <c r="K94" s="4"/>
    </row>
    <row r="95" spans="1:11" ht="15" x14ac:dyDescent="0.25">
      <c r="A95" s="115" t="s">
        <v>1437</v>
      </c>
      <c r="B95" s="255" t="s">
        <v>1413</v>
      </c>
      <c r="C95" s="11">
        <v>734</v>
      </c>
      <c r="D95" s="11"/>
      <c r="E95" s="11"/>
      <c r="F95" s="4" t="s">
        <v>1438</v>
      </c>
      <c r="G95" s="4" t="s">
        <v>1439</v>
      </c>
      <c r="H95" s="4" t="s">
        <v>1052</v>
      </c>
      <c r="I95" s="4"/>
      <c r="J95" s="4"/>
      <c r="K95" s="4"/>
    </row>
    <row r="96" spans="1:11" ht="15" x14ac:dyDescent="0.25">
      <c r="A96" s="115" t="s">
        <v>1431</v>
      </c>
      <c r="B96" s="255" t="s">
        <v>1413</v>
      </c>
      <c r="C96" s="11" t="s">
        <v>1440</v>
      </c>
      <c r="D96" s="11"/>
      <c r="E96" s="11"/>
      <c r="F96" s="4" t="s">
        <v>1434</v>
      </c>
      <c r="G96" s="4" t="s">
        <v>1109</v>
      </c>
      <c r="H96" s="4" t="s">
        <v>1052</v>
      </c>
      <c r="I96" s="4"/>
      <c r="J96" s="4"/>
      <c r="K96" s="4"/>
    </row>
    <row r="97" spans="1:11" ht="15" x14ac:dyDescent="0.25">
      <c r="A97" s="115" t="s">
        <v>409</v>
      </c>
      <c r="B97" s="255" t="s">
        <v>1413</v>
      </c>
      <c r="C97" s="11">
        <v>560</v>
      </c>
      <c r="D97" s="11"/>
      <c r="E97" s="11"/>
      <c r="F97" s="4" t="s">
        <v>1436</v>
      </c>
      <c r="G97" s="4" t="s">
        <v>1432</v>
      </c>
      <c r="H97" s="4" t="s">
        <v>1433</v>
      </c>
      <c r="I97" s="4"/>
      <c r="J97" s="4"/>
      <c r="K97" s="4"/>
    </row>
    <row r="98" spans="1:11" ht="15" x14ac:dyDescent="0.25">
      <c r="A98" s="115" t="s">
        <v>1437</v>
      </c>
      <c r="B98" s="255" t="s">
        <v>1429</v>
      </c>
      <c r="C98" s="11">
        <v>736</v>
      </c>
      <c r="D98" s="11"/>
      <c r="E98" s="11"/>
      <c r="F98" s="4" t="s">
        <v>1434</v>
      </c>
      <c r="G98" s="4" t="s">
        <v>1109</v>
      </c>
      <c r="H98" s="4" t="s">
        <v>1052</v>
      </c>
      <c r="I98" s="4"/>
      <c r="J98" s="4"/>
      <c r="K98" s="4"/>
    </row>
    <row r="99" spans="1:11" ht="15" x14ac:dyDescent="0.25">
      <c r="A99" s="115" t="s">
        <v>1441</v>
      </c>
      <c r="B99" s="255" t="s">
        <v>1442</v>
      </c>
      <c r="C99" s="11">
        <v>737</v>
      </c>
      <c r="D99" s="11"/>
      <c r="E99" s="11"/>
      <c r="F99" s="4" t="s">
        <v>1443</v>
      </c>
      <c r="G99" s="4" t="s">
        <v>1444</v>
      </c>
      <c r="H99" s="4" t="s">
        <v>1445</v>
      </c>
      <c r="I99" s="4"/>
      <c r="J99" s="4"/>
      <c r="K99" s="4"/>
    </row>
    <row r="100" spans="1:11" ht="15" x14ac:dyDescent="0.25">
      <c r="A100" s="115" t="s">
        <v>519</v>
      </c>
      <c r="B100" s="255" t="s">
        <v>1452</v>
      </c>
      <c r="C100" s="11">
        <v>611</v>
      </c>
      <c r="D100" s="11"/>
      <c r="E100" s="11"/>
      <c r="F100" s="4" t="s">
        <v>1295</v>
      </c>
      <c r="G100" s="4" t="s">
        <v>1056</v>
      </c>
      <c r="H100" s="4" t="s">
        <v>1454</v>
      </c>
      <c r="I100" s="4"/>
      <c r="J100" s="4"/>
      <c r="K100" s="4"/>
    </row>
    <row r="101" spans="1:11" ht="15" x14ac:dyDescent="0.25">
      <c r="A101" s="115" t="s">
        <v>519</v>
      </c>
      <c r="B101" s="255" t="s">
        <v>1452</v>
      </c>
      <c r="C101" s="254">
        <v>738740742</v>
      </c>
      <c r="D101" s="254"/>
      <c r="E101" s="11"/>
      <c r="F101" s="4" t="s">
        <v>1295</v>
      </c>
      <c r="G101" s="4" t="s">
        <v>1453</v>
      </c>
      <c r="H101" s="4" t="s">
        <v>1455</v>
      </c>
      <c r="I101" s="4"/>
      <c r="J101" s="4"/>
      <c r="K101" s="4"/>
    </row>
    <row r="102" spans="1:11" ht="15" x14ac:dyDescent="0.25">
      <c r="A102" s="115" t="s">
        <v>1437</v>
      </c>
      <c r="B102" s="255" t="s">
        <v>1465</v>
      </c>
      <c r="C102" s="11">
        <v>743</v>
      </c>
      <c r="D102" s="11"/>
      <c r="E102" s="11"/>
      <c r="F102" s="4" t="s">
        <v>1466</v>
      </c>
      <c r="G102" s="4" t="s">
        <v>1467</v>
      </c>
      <c r="H102" s="4" t="s">
        <v>1052</v>
      </c>
      <c r="I102" s="4"/>
      <c r="J102" s="4"/>
      <c r="K102" s="4"/>
    </row>
    <row r="103" spans="1:11" ht="15" x14ac:dyDescent="0.25">
      <c r="A103" s="115" t="s">
        <v>1194</v>
      </c>
      <c r="B103" s="255" t="s">
        <v>1465</v>
      </c>
      <c r="C103" s="11"/>
      <c r="D103" s="11"/>
      <c r="E103" s="11"/>
      <c r="F103" s="4" t="s">
        <v>1470</v>
      </c>
      <c r="G103" s="4"/>
      <c r="H103" s="4" t="s">
        <v>1052</v>
      </c>
      <c r="I103" s="4"/>
      <c r="J103" s="4"/>
      <c r="K103" s="4"/>
    </row>
    <row r="104" spans="1:11" ht="15" x14ac:dyDescent="0.25">
      <c r="A104" s="115" t="s">
        <v>1138</v>
      </c>
      <c r="B104" s="255" t="s">
        <v>1465</v>
      </c>
      <c r="C104" s="11">
        <v>563</v>
      </c>
      <c r="D104" s="11"/>
      <c r="E104" s="11"/>
      <c r="F104" s="4" t="s">
        <v>1471</v>
      </c>
      <c r="G104" s="4" t="s">
        <v>1472</v>
      </c>
      <c r="H104" s="4" t="s">
        <v>1052</v>
      </c>
      <c r="I104" s="4"/>
      <c r="J104" s="4"/>
      <c r="K104" s="4"/>
    </row>
    <row r="105" spans="1:11" ht="15" x14ac:dyDescent="0.25">
      <c r="A105" s="115" t="s">
        <v>1473</v>
      </c>
      <c r="B105" s="255" t="s">
        <v>1465</v>
      </c>
      <c r="C105" s="11">
        <v>650</v>
      </c>
      <c r="D105" s="11"/>
      <c r="E105" s="11"/>
      <c r="F105" s="4" t="s">
        <v>1476</v>
      </c>
      <c r="G105" s="4" t="s">
        <v>1472</v>
      </c>
      <c r="H105" s="4" t="s">
        <v>1052</v>
      </c>
      <c r="I105" s="4"/>
      <c r="J105" s="4"/>
      <c r="K105" s="4"/>
    </row>
    <row r="106" spans="1:11" ht="15" x14ac:dyDescent="0.25">
      <c r="A106" s="115" t="s">
        <v>1474</v>
      </c>
      <c r="B106" s="255" t="s">
        <v>1465</v>
      </c>
      <c r="C106" s="11">
        <v>554</v>
      </c>
      <c r="D106" s="11"/>
      <c r="E106" s="11"/>
      <c r="F106" s="4" t="s">
        <v>1475</v>
      </c>
      <c r="G106" s="4" t="s">
        <v>1477</v>
      </c>
      <c r="H106" s="4" t="s">
        <v>1052</v>
      </c>
      <c r="I106" s="4"/>
      <c r="J106" s="4"/>
      <c r="K106" s="4"/>
    </row>
    <row r="107" spans="1:11" ht="15" x14ac:dyDescent="0.25">
      <c r="A107" s="115" t="s">
        <v>1437</v>
      </c>
      <c r="B107" s="255" t="s">
        <v>1469</v>
      </c>
      <c r="C107" s="321">
        <v>716</v>
      </c>
      <c r="D107" s="321"/>
      <c r="E107" s="11">
        <v>400</v>
      </c>
      <c r="F107" s="4" t="s">
        <v>1478</v>
      </c>
      <c r="G107" s="4" t="s">
        <v>1479</v>
      </c>
      <c r="H107" s="4" t="s">
        <v>1052</v>
      </c>
      <c r="I107" s="4"/>
      <c r="J107" s="4"/>
      <c r="K107" s="4"/>
    </row>
    <row r="108" spans="1:11" ht="15" x14ac:dyDescent="0.25">
      <c r="A108" s="115" t="s">
        <v>1552</v>
      </c>
      <c r="B108" s="257">
        <v>46028</v>
      </c>
      <c r="C108" s="18" t="s">
        <v>1593</v>
      </c>
      <c r="E108" s="11"/>
      <c r="F108" s="4" t="s">
        <v>1553</v>
      </c>
      <c r="G108" s="4" t="s">
        <v>1554</v>
      </c>
      <c r="H108" s="4" t="s">
        <v>1052</v>
      </c>
      <c r="I108" s="4"/>
      <c r="J108" s="4"/>
      <c r="K108" s="4"/>
    </row>
    <row r="109" spans="1:11" ht="15" x14ac:dyDescent="0.25">
      <c r="A109" s="115" t="s">
        <v>1378</v>
      </c>
      <c r="B109" s="257">
        <v>46028</v>
      </c>
      <c r="C109" s="18">
        <v>739</v>
      </c>
      <c r="E109" s="11"/>
      <c r="F109" s="4" t="s">
        <v>1360</v>
      </c>
      <c r="G109" s="4" t="s">
        <v>1296</v>
      </c>
      <c r="H109" s="4" t="s">
        <v>1052</v>
      </c>
      <c r="I109" s="4"/>
      <c r="J109" s="4"/>
      <c r="K109" s="4"/>
    </row>
    <row r="110" spans="1:11" ht="15" x14ac:dyDescent="0.25">
      <c r="A110" s="115" t="s">
        <v>1556</v>
      </c>
      <c r="B110" s="257">
        <v>46059</v>
      </c>
      <c r="C110" s="11">
        <v>671</v>
      </c>
      <c r="D110" s="11"/>
      <c r="E110" s="11"/>
      <c r="F110" s="4" t="s">
        <v>1580</v>
      </c>
      <c r="G110" s="4" t="s">
        <v>1163</v>
      </c>
      <c r="H110" s="4" t="s">
        <v>1100</v>
      </c>
      <c r="I110" s="4"/>
      <c r="J110" s="4"/>
      <c r="K110" s="4"/>
    </row>
    <row r="111" spans="1:11" ht="15" x14ac:dyDescent="0.25">
      <c r="A111" s="115" t="s">
        <v>1186</v>
      </c>
      <c r="B111" s="257">
        <v>46087</v>
      </c>
      <c r="C111" s="11">
        <v>573</v>
      </c>
      <c r="D111" s="11"/>
      <c r="E111" s="11"/>
      <c r="F111" s="4" t="s">
        <v>1435</v>
      </c>
      <c r="G111" s="4" t="s">
        <v>1581</v>
      </c>
      <c r="H111" s="4" t="s">
        <v>1100</v>
      </c>
      <c r="I111" s="4"/>
      <c r="J111" s="4"/>
      <c r="K111" s="4"/>
    </row>
    <row r="112" spans="1:11" ht="15" x14ac:dyDescent="0.25">
      <c r="A112" s="115" t="s">
        <v>406</v>
      </c>
      <c r="B112" s="257">
        <v>46087</v>
      </c>
      <c r="C112" s="254">
        <v>556604743744</v>
      </c>
      <c r="D112" s="11"/>
      <c r="E112" s="11"/>
      <c r="F112" s="4" t="s">
        <v>1601</v>
      </c>
      <c r="G112" s="4" t="s">
        <v>1603</v>
      </c>
      <c r="H112" s="4" t="s">
        <v>1100</v>
      </c>
      <c r="I112" s="4"/>
      <c r="J112" s="4"/>
      <c r="K112" s="4"/>
    </row>
    <row r="113" spans="1:11" ht="15" x14ac:dyDescent="0.25">
      <c r="A113" s="115" t="s">
        <v>1577</v>
      </c>
      <c r="B113" s="257">
        <v>46118</v>
      </c>
      <c r="C113" s="11">
        <v>745</v>
      </c>
      <c r="D113" s="11">
        <v>1</v>
      </c>
      <c r="E113" s="11">
        <v>406</v>
      </c>
      <c r="F113" s="4" t="s">
        <v>1434</v>
      </c>
      <c r="G113" s="4" t="s">
        <v>1578</v>
      </c>
      <c r="H113" s="4" t="s">
        <v>1052</v>
      </c>
      <c r="I113" s="4"/>
      <c r="J113" s="4"/>
      <c r="K113" s="4"/>
    </row>
    <row r="114" spans="1:11" ht="15" x14ac:dyDescent="0.25">
      <c r="A114" s="115" t="s">
        <v>1595</v>
      </c>
      <c r="B114" s="257">
        <v>46118</v>
      </c>
      <c r="C114" s="11">
        <v>671</v>
      </c>
      <c r="D114" s="11">
        <v>1</v>
      </c>
      <c r="E114" s="11">
        <v>407</v>
      </c>
      <c r="F114" s="4" t="s">
        <v>1435</v>
      </c>
      <c r="G114" s="4" t="s">
        <v>1579</v>
      </c>
      <c r="H114" s="4" t="s">
        <v>1052</v>
      </c>
      <c r="I114" s="4"/>
      <c r="J114" s="4"/>
      <c r="K114" s="4"/>
    </row>
    <row r="115" spans="1:11" ht="15" x14ac:dyDescent="0.25">
      <c r="A115" s="115" t="s">
        <v>1582</v>
      </c>
      <c r="B115" s="257">
        <v>46118</v>
      </c>
      <c r="C115" s="11">
        <v>573</v>
      </c>
      <c r="D115" s="11">
        <v>1</v>
      </c>
      <c r="E115" s="11">
        <v>408</v>
      </c>
      <c r="F115" s="4" t="s">
        <v>1435</v>
      </c>
      <c r="G115" s="4" t="s">
        <v>1583</v>
      </c>
      <c r="H115" s="4" t="s">
        <v>1592</v>
      </c>
      <c r="I115" s="4"/>
      <c r="J115" s="4"/>
      <c r="K115" s="4"/>
    </row>
    <row r="116" spans="1:11" ht="15" x14ac:dyDescent="0.25">
      <c r="A116" s="115" t="s">
        <v>1590</v>
      </c>
      <c r="B116" s="257">
        <v>46148</v>
      </c>
      <c r="C116" s="11">
        <v>618</v>
      </c>
      <c r="D116" s="11">
        <v>1</v>
      </c>
      <c r="E116" s="11"/>
      <c r="F116" s="4" t="s">
        <v>1434</v>
      </c>
      <c r="G116" s="4" t="s">
        <v>1591</v>
      </c>
      <c r="H116" s="4" t="s">
        <v>1100</v>
      </c>
      <c r="I116" s="4"/>
      <c r="J116" s="4"/>
      <c r="K116" s="4"/>
    </row>
    <row r="117" spans="1:11" ht="15" x14ac:dyDescent="0.25">
      <c r="A117" s="115" t="s">
        <v>1598</v>
      </c>
      <c r="B117" s="257">
        <v>46179</v>
      </c>
      <c r="C117" s="11">
        <v>735</v>
      </c>
      <c r="D117" s="11">
        <v>1</v>
      </c>
      <c r="E117" s="11">
        <v>411</v>
      </c>
      <c r="F117" s="4" t="s">
        <v>1599</v>
      </c>
      <c r="G117" s="4" t="s">
        <v>1600</v>
      </c>
      <c r="H117" s="4" t="s">
        <v>1052</v>
      </c>
      <c r="I117" s="4"/>
      <c r="J117" s="4"/>
      <c r="K117" s="4"/>
    </row>
    <row r="118" spans="1:11" ht="15" x14ac:dyDescent="0.25">
      <c r="A118" s="115" t="s">
        <v>1602</v>
      </c>
      <c r="B118" s="257">
        <v>46179</v>
      </c>
      <c r="C118" s="11">
        <v>743</v>
      </c>
      <c r="D118" s="11">
        <v>1</v>
      </c>
      <c r="E118" s="11">
        <v>409</v>
      </c>
      <c r="F118" s="4" t="s">
        <v>1605</v>
      </c>
      <c r="G118" s="4" t="s">
        <v>1606</v>
      </c>
      <c r="H118" s="4" t="s">
        <v>1052</v>
      </c>
      <c r="I118" s="4"/>
      <c r="J118" s="4"/>
      <c r="K118" s="4"/>
    </row>
    <row r="119" spans="1:11" ht="15" x14ac:dyDescent="0.25">
      <c r="A119" s="115" t="s">
        <v>1596</v>
      </c>
      <c r="B119" s="257">
        <v>46209</v>
      </c>
      <c r="C119" s="254">
        <v>604744</v>
      </c>
      <c r="D119" s="11">
        <v>2</v>
      </c>
      <c r="E119" s="11">
        <v>412</v>
      </c>
      <c r="F119" s="4" t="s">
        <v>1597</v>
      </c>
      <c r="G119" s="4" t="s">
        <v>1604</v>
      </c>
      <c r="H119" s="4" t="s">
        <v>1052</v>
      </c>
      <c r="I119" s="4"/>
      <c r="J119" s="4"/>
      <c r="K119" s="4"/>
    </row>
    <row r="120" spans="1:11" ht="15" x14ac:dyDescent="0.25">
      <c r="A120" s="115" t="s">
        <v>1617</v>
      </c>
      <c r="B120" s="257">
        <v>46240</v>
      </c>
      <c r="C120" s="11">
        <v>402</v>
      </c>
      <c r="D120" s="11"/>
      <c r="E120" s="11">
        <v>413</v>
      </c>
      <c r="F120" s="4" t="s">
        <v>1302</v>
      </c>
      <c r="G120" s="4"/>
      <c r="H120" s="4" t="s">
        <v>1052</v>
      </c>
      <c r="I120" s="4"/>
      <c r="J120" s="4"/>
      <c r="K120" s="4"/>
    </row>
    <row r="121" spans="1:11" ht="15" x14ac:dyDescent="0.25">
      <c r="A121" s="115" t="s">
        <v>1378</v>
      </c>
      <c r="B121" s="257">
        <v>46240</v>
      </c>
      <c r="C121" s="11">
        <v>746</v>
      </c>
      <c r="D121" s="11">
        <v>1</v>
      </c>
      <c r="E121" s="11">
        <v>414</v>
      </c>
      <c r="F121" s="4" t="s">
        <v>1618</v>
      </c>
      <c r="G121" s="4" t="s">
        <v>1619</v>
      </c>
      <c r="H121" s="4" t="s">
        <v>1052</v>
      </c>
      <c r="I121" s="4"/>
      <c r="J121" s="4"/>
      <c r="K121" s="4"/>
    </row>
    <row r="122" spans="1:11" ht="15" x14ac:dyDescent="0.25">
      <c r="A122" s="115" t="s">
        <v>1609</v>
      </c>
      <c r="B122" s="257">
        <v>46332</v>
      </c>
      <c r="C122" s="254">
        <v>675676</v>
      </c>
      <c r="D122" s="11">
        <v>2</v>
      </c>
      <c r="E122" s="11">
        <v>360</v>
      </c>
      <c r="F122" s="4" t="s">
        <v>1318</v>
      </c>
      <c r="G122" s="4" t="s">
        <v>1610</v>
      </c>
      <c r="H122" s="4" t="s">
        <v>1052</v>
      </c>
      <c r="I122" s="4"/>
      <c r="J122" s="4"/>
      <c r="K122" s="4"/>
    </row>
    <row r="123" spans="1:11" ht="15" x14ac:dyDescent="0.25">
      <c r="A123" s="115" t="s">
        <v>1609</v>
      </c>
      <c r="B123" s="257">
        <v>46332</v>
      </c>
      <c r="C123" s="11">
        <v>696</v>
      </c>
      <c r="D123" s="11">
        <v>1</v>
      </c>
      <c r="E123" s="11">
        <v>360</v>
      </c>
      <c r="F123" s="4" t="s">
        <v>1295</v>
      </c>
      <c r="G123" s="4" t="s">
        <v>1579</v>
      </c>
      <c r="H123" s="4" t="s">
        <v>1052</v>
      </c>
      <c r="I123" s="4"/>
      <c r="J123" s="4"/>
      <c r="K123" s="4"/>
    </row>
    <row r="124" spans="1:11" ht="15" x14ac:dyDescent="0.25">
      <c r="A124" s="115" t="s">
        <v>1609</v>
      </c>
      <c r="B124" s="257">
        <v>46332</v>
      </c>
      <c r="C124" s="11"/>
      <c r="D124" s="11"/>
      <c r="E124" s="11"/>
      <c r="F124" s="4" t="s">
        <v>1611</v>
      </c>
      <c r="G124" s="4"/>
      <c r="H124" s="4" t="s">
        <v>1100</v>
      </c>
      <c r="I124" s="4"/>
      <c r="J124" s="4"/>
      <c r="K124" s="4"/>
    </row>
    <row r="125" spans="1:11" ht="15" x14ac:dyDescent="0.25">
      <c r="A125" s="115" t="s">
        <v>1441</v>
      </c>
      <c r="B125" s="257">
        <v>46362</v>
      </c>
      <c r="C125" s="254">
        <v>626732</v>
      </c>
      <c r="D125" s="11" t="s">
        <v>1621</v>
      </c>
      <c r="E125" s="11"/>
      <c r="F125" s="4" t="s">
        <v>1622</v>
      </c>
      <c r="G125" s="4" t="s">
        <v>1620</v>
      </c>
      <c r="H125" s="4" t="s">
        <v>1052</v>
      </c>
      <c r="I125" s="4"/>
      <c r="J125" s="4"/>
      <c r="K125" s="4"/>
    </row>
    <row r="126" spans="1:11" ht="15" x14ac:dyDescent="0.25">
      <c r="A126" s="115" t="s">
        <v>1742</v>
      </c>
      <c r="B126" s="257">
        <v>46362</v>
      </c>
      <c r="C126" s="254">
        <v>688689690691</v>
      </c>
      <c r="D126" s="11">
        <v>4</v>
      </c>
      <c r="E126" s="11"/>
      <c r="F126" s="4" t="s">
        <v>1318</v>
      </c>
      <c r="G126" s="4" t="s">
        <v>1627</v>
      </c>
      <c r="H126" s="4" t="s">
        <v>1743</v>
      </c>
      <c r="I126" s="4"/>
      <c r="J126" s="4"/>
      <c r="K126" s="4"/>
    </row>
    <row r="127" spans="1:11" ht="15" x14ac:dyDescent="0.25">
      <c r="A127" s="115" t="s">
        <v>1742</v>
      </c>
      <c r="B127" s="257">
        <v>46362</v>
      </c>
      <c r="C127" s="254">
        <v>561726</v>
      </c>
      <c r="D127" s="11">
        <v>2</v>
      </c>
      <c r="E127" s="11"/>
      <c r="F127" s="4" t="s">
        <v>1744</v>
      </c>
      <c r="G127" s="4" t="s">
        <v>1745</v>
      </c>
      <c r="H127" s="4" t="s">
        <v>811</v>
      </c>
      <c r="I127" s="4"/>
      <c r="J127" s="4"/>
      <c r="K127" s="4"/>
    </row>
    <row r="128" spans="1:11" ht="15" x14ac:dyDescent="0.25">
      <c r="A128" s="115" t="s">
        <v>1623</v>
      </c>
      <c r="B128" s="257">
        <v>46362</v>
      </c>
      <c r="C128" s="11">
        <v>726</v>
      </c>
      <c r="D128" s="11">
        <v>1</v>
      </c>
      <c r="E128" s="11">
        <v>418</v>
      </c>
      <c r="F128" s="4" t="s">
        <v>1624</v>
      </c>
      <c r="G128" s="4" t="s">
        <v>1625</v>
      </c>
      <c r="H128" s="4" t="s">
        <v>1052</v>
      </c>
      <c r="I128" s="4"/>
      <c r="J128" s="4"/>
      <c r="K128" s="4"/>
    </row>
    <row r="129" spans="1:11" ht="15" x14ac:dyDescent="0.25">
      <c r="A129" s="115" t="s">
        <v>1626</v>
      </c>
      <c r="B129" s="257">
        <v>46362</v>
      </c>
      <c r="C129" s="11">
        <v>688</v>
      </c>
      <c r="D129" s="11">
        <v>1</v>
      </c>
      <c r="E129" s="11">
        <v>419</v>
      </c>
      <c r="F129" s="4" t="s">
        <v>1334</v>
      </c>
      <c r="G129" s="4" t="s">
        <v>1627</v>
      </c>
      <c r="H129" s="4" t="s">
        <v>1052</v>
      </c>
      <c r="I129" s="4"/>
      <c r="J129" s="4"/>
      <c r="K129" s="4"/>
    </row>
    <row r="130" spans="1:11" ht="15" x14ac:dyDescent="0.25">
      <c r="A130" s="115" t="s">
        <v>1656</v>
      </c>
      <c r="B130" s="255" t="s">
        <v>1655</v>
      </c>
      <c r="C130" s="11">
        <v>720</v>
      </c>
      <c r="D130" s="11">
        <v>1</v>
      </c>
      <c r="E130" s="11">
        <v>420</v>
      </c>
      <c r="F130" s="4" t="s">
        <v>1657</v>
      </c>
      <c r="G130" s="4" t="s">
        <v>1658</v>
      </c>
      <c r="H130" s="4" t="s">
        <v>1052</v>
      </c>
      <c r="I130" s="4"/>
      <c r="J130" s="4"/>
      <c r="K130" s="4"/>
    </row>
    <row r="131" spans="1:11" ht="15" x14ac:dyDescent="0.25">
      <c r="A131" s="115" t="s">
        <v>289</v>
      </c>
      <c r="B131" s="255" t="s">
        <v>1663</v>
      </c>
      <c r="C131" s="11">
        <v>708</v>
      </c>
      <c r="D131" s="11">
        <v>1</v>
      </c>
      <c r="E131" s="11">
        <v>421</v>
      </c>
      <c r="F131" s="4" t="s">
        <v>1677</v>
      </c>
      <c r="G131" s="4" t="s">
        <v>1579</v>
      </c>
      <c r="H131" s="4" t="s">
        <v>1678</v>
      </c>
      <c r="I131" s="4"/>
      <c r="J131" s="4"/>
      <c r="K131" s="4"/>
    </row>
    <row r="132" spans="1:11" ht="15" x14ac:dyDescent="0.25">
      <c r="A132" s="115" t="s">
        <v>1682</v>
      </c>
      <c r="B132" s="255" t="s">
        <v>1663</v>
      </c>
      <c r="C132" s="11">
        <v>602</v>
      </c>
      <c r="D132" s="11">
        <v>1</v>
      </c>
      <c r="E132" s="11">
        <v>422</v>
      </c>
      <c r="F132" s="4" t="s">
        <v>1679</v>
      </c>
      <c r="G132" s="4" t="s">
        <v>1680</v>
      </c>
      <c r="H132" s="4" t="s">
        <v>1052</v>
      </c>
      <c r="I132" s="4" t="s">
        <v>1681</v>
      </c>
      <c r="J132" s="4"/>
      <c r="K132" s="4"/>
    </row>
    <row r="133" spans="1:11" ht="15" x14ac:dyDescent="0.25">
      <c r="A133" s="115" t="s">
        <v>1683</v>
      </c>
      <c r="B133" s="255" t="s">
        <v>1666</v>
      </c>
      <c r="C133" s="11">
        <v>699</v>
      </c>
      <c r="D133" s="11">
        <v>1</v>
      </c>
      <c r="E133" s="11">
        <v>423</v>
      </c>
      <c r="F133" s="4" t="s">
        <v>1684</v>
      </c>
      <c r="G133" s="4" t="s">
        <v>1685</v>
      </c>
      <c r="H133" s="4" t="s">
        <v>1052</v>
      </c>
      <c r="I133" s="4"/>
      <c r="J133" s="4"/>
      <c r="K133" s="4"/>
    </row>
    <row r="134" spans="1:11" ht="15" x14ac:dyDescent="0.25">
      <c r="A134" s="115" t="s">
        <v>1690</v>
      </c>
      <c r="B134" s="255" t="s">
        <v>1666</v>
      </c>
      <c r="C134" s="11" t="s">
        <v>1686</v>
      </c>
      <c r="D134" s="11">
        <v>5</v>
      </c>
      <c r="E134" s="11">
        <v>424</v>
      </c>
      <c r="F134" s="4" t="s">
        <v>1687</v>
      </c>
      <c r="G134" s="4" t="s">
        <v>1579</v>
      </c>
      <c r="H134" s="4" t="s">
        <v>1052</v>
      </c>
      <c r="I134" s="4"/>
      <c r="J134" s="4"/>
      <c r="K134" s="4"/>
    </row>
    <row r="135" spans="1:11" ht="15" x14ac:dyDescent="0.25">
      <c r="A135" s="115" t="s">
        <v>1691</v>
      </c>
      <c r="B135" s="255" t="s">
        <v>1664</v>
      </c>
      <c r="C135" s="11">
        <v>735</v>
      </c>
      <c r="D135" s="11">
        <v>1</v>
      </c>
      <c r="E135" s="11">
        <v>425</v>
      </c>
      <c r="F135" s="4" t="s">
        <v>1688</v>
      </c>
      <c r="G135" s="4" t="s">
        <v>1355</v>
      </c>
      <c r="H135" s="4" t="s">
        <v>1052</v>
      </c>
      <c r="I135" s="4"/>
      <c r="J135" s="4"/>
      <c r="K135" s="4"/>
    </row>
    <row r="136" spans="1:11" ht="15" x14ac:dyDescent="0.25">
      <c r="A136" s="115" t="s">
        <v>289</v>
      </c>
      <c r="B136" s="255" t="s">
        <v>1664</v>
      </c>
      <c r="C136" s="11" t="s">
        <v>1689</v>
      </c>
      <c r="D136" s="11">
        <v>2</v>
      </c>
      <c r="E136" s="11">
        <v>426</v>
      </c>
      <c r="F136" s="4" t="s">
        <v>1693</v>
      </c>
      <c r="G136" s="4" t="s">
        <v>1692</v>
      </c>
      <c r="H136" s="4" t="s">
        <v>1746</v>
      </c>
      <c r="I136" s="4"/>
      <c r="J136" s="4"/>
      <c r="K136" s="4"/>
    </row>
    <row r="137" spans="1:11" ht="15" x14ac:dyDescent="0.25">
      <c r="A137" s="115" t="s">
        <v>1694</v>
      </c>
      <c r="B137" s="255" t="s">
        <v>1673</v>
      </c>
      <c r="C137" s="11"/>
      <c r="D137" s="11"/>
      <c r="E137" s="11">
        <v>427</v>
      </c>
      <c r="F137" s="4" t="s">
        <v>1695</v>
      </c>
      <c r="G137" s="4"/>
      <c r="H137" s="4" t="s">
        <v>1051</v>
      </c>
      <c r="I137" s="4"/>
      <c r="J137" s="4"/>
      <c r="K137" s="4"/>
    </row>
    <row r="138" spans="1:11" ht="15" x14ac:dyDescent="0.25">
      <c r="A138" s="115" t="s">
        <v>1696</v>
      </c>
      <c r="B138" s="255" t="s">
        <v>1673</v>
      </c>
      <c r="C138" s="11"/>
      <c r="D138" s="11"/>
      <c r="E138" s="11"/>
      <c r="F138" s="4" t="s">
        <v>1697</v>
      </c>
      <c r="G138" s="4"/>
      <c r="H138" s="4" t="s">
        <v>1052</v>
      </c>
      <c r="I138" s="4"/>
      <c r="J138" s="4"/>
      <c r="K138" s="4"/>
    </row>
    <row r="139" spans="1:11" ht="15" x14ac:dyDescent="0.25">
      <c r="A139" s="115"/>
      <c r="B139" s="255"/>
      <c r="C139" s="11"/>
      <c r="D139" s="11"/>
      <c r="E139" s="11"/>
      <c r="F139" s="4"/>
      <c r="G139" s="4"/>
      <c r="H139" s="4"/>
      <c r="I139" s="4"/>
      <c r="J139" s="4"/>
      <c r="K139" s="4"/>
    </row>
    <row r="140" spans="1:11" x14ac:dyDescent="0.35">
      <c r="A140" s="115"/>
      <c r="B140" s="255"/>
      <c r="C140" s="11"/>
      <c r="D140" s="11"/>
      <c r="E140" s="11"/>
      <c r="F140" s="4"/>
      <c r="G140" s="4"/>
      <c r="H140" s="4"/>
      <c r="I140" s="4"/>
      <c r="J140" s="4"/>
      <c r="K140" s="4"/>
    </row>
    <row r="141" spans="1:11" x14ac:dyDescent="0.35">
      <c r="A141" s="115"/>
      <c r="B141" s="255"/>
      <c r="C141" s="11"/>
      <c r="D141" s="11"/>
      <c r="E141" s="11"/>
      <c r="F141" s="4"/>
      <c r="G141" s="4"/>
      <c r="H141" s="4"/>
      <c r="I141" s="4"/>
      <c r="J141" s="4"/>
      <c r="K141" s="4"/>
    </row>
    <row r="142" spans="1:11" x14ac:dyDescent="0.35">
      <c r="A142" s="115"/>
      <c r="B142" s="255"/>
      <c r="C142" s="11"/>
      <c r="D142" s="11"/>
      <c r="E142" s="11"/>
      <c r="F142" s="4"/>
      <c r="G142" s="4"/>
      <c r="H142" s="4"/>
      <c r="I142" s="4"/>
      <c r="J142" s="4"/>
      <c r="K142" s="4"/>
    </row>
    <row r="143" spans="1:11" x14ac:dyDescent="0.35">
      <c r="A143" s="115"/>
      <c r="B143" s="255"/>
      <c r="C143" s="11"/>
      <c r="D143" s="11"/>
      <c r="E143" s="11"/>
      <c r="F143" s="4"/>
      <c r="G143" s="4"/>
      <c r="H143" s="4"/>
      <c r="I143" s="4"/>
      <c r="J143" s="4"/>
      <c r="K143" s="4"/>
    </row>
    <row r="144" spans="1:11" x14ac:dyDescent="0.35">
      <c r="A144" s="115"/>
      <c r="B144" s="255"/>
      <c r="C144" s="11"/>
      <c r="D144" s="11"/>
      <c r="E144" s="11"/>
      <c r="F144" s="4"/>
      <c r="G144" s="4"/>
      <c r="H144" s="4"/>
      <c r="I144" s="4"/>
      <c r="J144" s="4"/>
      <c r="K144" s="4"/>
    </row>
    <row r="145" spans="1:11" x14ac:dyDescent="0.35">
      <c r="A145" s="115"/>
      <c r="B145" s="255"/>
      <c r="C145" s="11"/>
      <c r="D145" s="11"/>
      <c r="E145" s="11"/>
      <c r="F145" s="4"/>
      <c r="G145" s="4"/>
      <c r="H145" s="4"/>
      <c r="I145" s="4"/>
      <c r="J145" s="4"/>
      <c r="K145" s="4"/>
    </row>
    <row r="146" spans="1:11" x14ac:dyDescent="0.35">
      <c r="A146" s="115"/>
      <c r="B146" s="255"/>
      <c r="C146" s="11"/>
      <c r="D146" s="11"/>
      <c r="E146" s="11"/>
      <c r="F146" s="4"/>
      <c r="G146" s="4"/>
      <c r="H146" s="4"/>
      <c r="I146" s="4"/>
      <c r="J146" s="4"/>
      <c r="K146" s="4"/>
    </row>
    <row r="147" spans="1:11" x14ac:dyDescent="0.35">
      <c r="A147" s="115"/>
      <c r="B147" s="255"/>
      <c r="C147" s="11"/>
      <c r="D147" s="11"/>
      <c r="E147" s="11"/>
      <c r="F147" s="4"/>
      <c r="G147" s="4"/>
      <c r="H147" s="4"/>
      <c r="I147" s="4"/>
      <c r="J147" s="4"/>
      <c r="K147" s="4"/>
    </row>
    <row r="148" spans="1:11" x14ac:dyDescent="0.35">
      <c r="A148" s="115"/>
      <c r="B148" s="255"/>
      <c r="C148" s="11"/>
      <c r="D148" s="11"/>
      <c r="E148" s="11"/>
      <c r="F148" s="4"/>
      <c r="G148" s="4"/>
      <c r="H148" s="4"/>
      <c r="I148" s="4"/>
      <c r="J148" s="4"/>
      <c r="K148" s="4"/>
    </row>
    <row r="149" spans="1:11" x14ac:dyDescent="0.35">
      <c r="A149" s="115"/>
      <c r="B149" s="255"/>
      <c r="C149" s="11"/>
      <c r="D149" s="11"/>
      <c r="E149" s="11"/>
      <c r="F149" s="4"/>
      <c r="G149" s="4"/>
      <c r="H149" s="4"/>
      <c r="I149" s="4"/>
      <c r="J149" s="4"/>
      <c r="K149" s="4"/>
    </row>
    <row r="150" spans="1:11" x14ac:dyDescent="0.35">
      <c r="A150" s="115"/>
      <c r="B150" s="255"/>
      <c r="C150" s="11"/>
      <c r="D150" s="11"/>
      <c r="E150" s="11"/>
      <c r="F150" s="4"/>
      <c r="G150" s="4"/>
      <c r="H150" s="4"/>
      <c r="I150" s="4"/>
      <c r="J150" s="4"/>
      <c r="K150" s="4"/>
    </row>
    <row r="151" spans="1:11" x14ac:dyDescent="0.35">
      <c r="A151" s="115"/>
      <c r="B151" s="255"/>
      <c r="C151" s="11"/>
      <c r="D151" s="11"/>
      <c r="E151" s="11"/>
      <c r="F151" s="4"/>
      <c r="G151" s="4"/>
      <c r="H151" s="4"/>
      <c r="I151" s="4"/>
      <c r="J151" s="4"/>
      <c r="K151" s="4"/>
    </row>
    <row r="152" spans="1:11" x14ac:dyDescent="0.35">
      <c r="A152" s="115"/>
      <c r="B152" s="255"/>
      <c r="C152" s="11"/>
      <c r="D152" s="11"/>
      <c r="E152" s="11"/>
      <c r="F152" s="4"/>
      <c r="G152" s="4"/>
      <c r="H152" s="4"/>
      <c r="I152" s="4"/>
      <c r="J152" s="4"/>
      <c r="K152" s="4"/>
    </row>
    <row r="153" spans="1:11" x14ac:dyDescent="0.35">
      <c r="A153" s="115"/>
      <c r="B153" s="255"/>
      <c r="C153" s="11"/>
      <c r="D153" s="11"/>
      <c r="E153" s="11"/>
      <c r="F153" s="4"/>
      <c r="G153" s="4"/>
      <c r="H153" s="4"/>
      <c r="I153" s="4"/>
      <c r="J153" s="4"/>
      <c r="K153" s="4"/>
    </row>
    <row r="154" spans="1:11" x14ac:dyDescent="0.35">
      <c r="A154" s="115"/>
      <c r="B154" s="255"/>
      <c r="C154" s="11"/>
      <c r="D154" s="11"/>
      <c r="E154" s="11"/>
      <c r="F154" s="4"/>
      <c r="G154" s="4"/>
      <c r="H154" s="4"/>
      <c r="I154" s="4"/>
      <c r="J154" s="4"/>
      <c r="K154" s="4"/>
    </row>
    <row r="155" spans="1:11" x14ac:dyDescent="0.35">
      <c r="A155" s="115"/>
      <c r="B155" s="255"/>
      <c r="C155" s="11"/>
      <c r="D155" s="11"/>
      <c r="E155" s="11"/>
      <c r="F155" s="4"/>
      <c r="G155" s="4"/>
      <c r="H155" s="4"/>
      <c r="I155" s="4"/>
      <c r="J155" s="4"/>
      <c r="K155" s="4"/>
    </row>
    <row r="156" spans="1:11" x14ac:dyDescent="0.35">
      <c r="A156" s="115"/>
      <c r="B156" s="255"/>
      <c r="C156" s="11"/>
      <c r="D156" s="11"/>
      <c r="E156" s="11"/>
      <c r="F156" s="4"/>
      <c r="G156" s="4"/>
      <c r="H156" s="4"/>
      <c r="I156" s="4"/>
      <c r="J156" s="4"/>
      <c r="K156" s="4"/>
    </row>
    <row r="157" spans="1:11" x14ac:dyDescent="0.35">
      <c r="A157" s="115"/>
      <c r="B157" s="255"/>
      <c r="C157" s="11"/>
      <c r="D157" s="11"/>
      <c r="E157" s="11"/>
      <c r="F157" s="4"/>
      <c r="G157" s="4"/>
      <c r="H157" s="4"/>
      <c r="I157" s="4"/>
      <c r="J157" s="4"/>
      <c r="K157" s="4"/>
    </row>
    <row r="158" spans="1:11" x14ac:dyDescent="0.35">
      <c r="A158" s="115"/>
      <c r="B158" s="255"/>
      <c r="C158" s="11"/>
      <c r="D158" s="11"/>
      <c r="E158" s="11"/>
      <c r="F158" s="4"/>
      <c r="G158" s="4"/>
      <c r="H158" s="4"/>
      <c r="I158" s="4"/>
      <c r="J158" s="4"/>
      <c r="K158" s="4"/>
    </row>
    <row r="159" spans="1:11" x14ac:dyDescent="0.35">
      <c r="A159" s="115"/>
      <c r="B159" s="255"/>
      <c r="C159" s="11"/>
      <c r="D159" s="11"/>
      <c r="E159" s="11"/>
      <c r="F159" s="4"/>
      <c r="G159" s="4"/>
      <c r="H159" s="4"/>
      <c r="I159" s="4"/>
      <c r="J159" s="4"/>
      <c r="K159" s="4"/>
    </row>
    <row r="160" spans="1:11" x14ac:dyDescent="0.35">
      <c r="A160" s="115"/>
      <c r="B160" s="255"/>
      <c r="C160" s="11"/>
      <c r="D160" s="11"/>
      <c r="E160" s="11"/>
      <c r="F160" s="4"/>
      <c r="G160" s="4"/>
      <c r="H160" s="4"/>
      <c r="I160" s="4"/>
      <c r="J160" s="4"/>
      <c r="K160" s="4"/>
    </row>
    <row r="161" spans="1:11" x14ac:dyDescent="0.35">
      <c r="A161" s="115"/>
      <c r="B161" s="255"/>
      <c r="C161" s="11"/>
      <c r="D161" s="11"/>
      <c r="E161" s="11"/>
      <c r="F161" s="4"/>
      <c r="G161" s="4"/>
      <c r="H161" s="4"/>
      <c r="I161" s="4"/>
      <c r="J161" s="4"/>
      <c r="K161" s="4"/>
    </row>
    <row r="162" spans="1:11" x14ac:dyDescent="0.35">
      <c r="A162" s="115"/>
      <c r="B162" s="255"/>
      <c r="C162" s="11"/>
      <c r="D162" s="11"/>
      <c r="E162" s="11"/>
      <c r="F162" s="4"/>
      <c r="G162" s="4"/>
      <c r="H162" s="4"/>
      <c r="I162" s="4"/>
      <c r="J162" s="4"/>
      <c r="K162" s="4"/>
    </row>
    <row r="163" spans="1:11" x14ac:dyDescent="0.35">
      <c r="A163" s="115"/>
      <c r="B163" s="255"/>
      <c r="C163" s="11"/>
      <c r="D163" s="11"/>
      <c r="E163" s="11"/>
      <c r="F163" s="4"/>
      <c r="G163" s="4"/>
      <c r="H163" s="4"/>
      <c r="I163" s="4"/>
      <c r="J163" s="4"/>
      <c r="K163" s="4"/>
    </row>
    <row r="164" spans="1:11" x14ac:dyDescent="0.35">
      <c r="A164" s="115"/>
      <c r="B164" s="255"/>
      <c r="C164" s="11"/>
      <c r="D164" s="11"/>
      <c r="E164" s="11"/>
      <c r="F164" s="4"/>
      <c r="G164" s="4"/>
      <c r="H164" s="4"/>
      <c r="I164" s="4"/>
      <c r="J164" s="4"/>
      <c r="K164" s="4"/>
    </row>
    <row r="165" spans="1:11" x14ac:dyDescent="0.35">
      <c r="A165" s="115"/>
      <c r="B165" s="255"/>
      <c r="C165" s="11"/>
      <c r="D165" s="11"/>
      <c r="E165" s="11"/>
      <c r="F165" s="4"/>
      <c r="G165" s="4"/>
      <c r="H165" s="4"/>
      <c r="I165" s="4"/>
      <c r="J165" s="4"/>
      <c r="K165" s="4"/>
    </row>
    <row r="166" spans="1:11" x14ac:dyDescent="0.35">
      <c r="A166" s="115"/>
      <c r="B166" s="255"/>
      <c r="C166" s="11"/>
      <c r="D166" s="11"/>
      <c r="E166" s="11"/>
      <c r="F166" s="4"/>
      <c r="G166" s="4"/>
      <c r="H166" s="4"/>
      <c r="I166" s="4"/>
      <c r="J166" s="4"/>
      <c r="K166" s="4"/>
    </row>
    <row r="167" spans="1:11" x14ac:dyDescent="0.35">
      <c r="A167" s="115"/>
      <c r="B167" s="255"/>
      <c r="C167" s="11"/>
      <c r="D167" s="11"/>
      <c r="E167" s="11"/>
      <c r="F167" s="4"/>
      <c r="G167" s="4"/>
      <c r="H167" s="4"/>
      <c r="I167" s="4"/>
      <c r="J167" s="4"/>
      <c r="K167" s="4"/>
    </row>
    <row r="168" spans="1:11" x14ac:dyDescent="0.35">
      <c r="A168" s="115"/>
      <c r="B168" s="255"/>
      <c r="C168" s="11"/>
      <c r="D168" s="11"/>
      <c r="E168" s="11"/>
      <c r="F168" s="4"/>
      <c r="G168" s="4"/>
      <c r="H168" s="4"/>
      <c r="I168" s="4"/>
      <c r="J168" s="4"/>
      <c r="K168" s="4"/>
    </row>
    <row r="169" spans="1:11" x14ac:dyDescent="0.35">
      <c r="A169" s="115"/>
      <c r="B169" s="255"/>
      <c r="C169" s="11"/>
      <c r="D169" s="11"/>
      <c r="E169" s="11"/>
      <c r="F169" s="4"/>
      <c r="G169" s="4"/>
      <c r="H169" s="4"/>
      <c r="I169" s="4"/>
      <c r="J169" s="4"/>
      <c r="K169" s="4"/>
    </row>
    <row r="170" spans="1:11" x14ac:dyDescent="0.35">
      <c r="A170" s="115"/>
      <c r="B170" s="255"/>
      <c r="C170" s="11"/>
      <c r="D170" s="11"/>
      <c r="E170" s="11"/>
      <c r="F170" s="4"/>
      <c r="G170" s="4"/>
      <c r="H170" s="4"/>
      <c r="I170" s="4"/>
      <c r="J170" s="4"/>
      <c r="K170" s="4"/>
    </row>
    <row r="171" spans="1:11" x14ac:dyDescent="0.35">
      <c r="A171" s="115"/>
      <c r="B171" s="255"/>
      <c r="C171" s="11"/>
      <c r="D171" s="11"/>
      <c r="E171" s="11"/>
      <c r="F171" s="4"/>
      <c r="G171" s="4"/>
      <c r="H171" s="4"/>
      <c r="I171" s="4"/>
      <c r="J171" s="4"/>
      <c r="K171" s="4"/>
    </row>
    <row r="172" spans="1:11" x14ac:dyDescent="0.35">
      <c r="A172" s="115"/>
      <c r="B172" s="255"/>
      <c r="C172" s="11"/>
      <c r="D172" s="11"/>
      <c r="E172" s="11"/>
      <c r="F172" s="4"/>
      <c r="G172" s="4"/>
      <c r="H172" s="4"/>
      <c r="I172" s="4"/>
      <c r="J172" s="4"/>
      <c r="K172" s="4"/>
    </row>
    <row r="173" spans="1:11" x14ac:dyDescent="0.35">
      <c r="A173" s="115"/>
      <c r="B173" s="255"/>
      <c r="C173" s="11"/>
      <c r="D173" s="11"/>
      <c r="E173" s="11"/>
      <c r="F173" s="4"/>
      <c r="G173" s="4"/>
      <c r="H173" s="4"/>
      <c r="I173" s="4"/>
      <c r="J173" s="4"/>
      <c r="K173" s="4"/>
    </row>
    <row r="174" spans="1:11" x14ac:dyDescent="0.35">
      <c r="A174" s="115"/>
      <c r="B174" s="255"/>
      <c r="C174" s="11"/>
      <c r="D174" s="11"/>
      <c r="E174" s="11"/>
      <c r="F174" s="4"/>
      <c r="G174" s="4"/>
      <c r="H174" s="4"/>
      <c r="I174" s="4"/>
      <c r="J174" s="4"/>
      <c r="K174" s="4"/>
    </row>
    <row r="175" spans="1:11" x14ac:dyDescent="0.35">
      <c r="A175" s="115"/>
      <c r="B175" s="255"/>
      <c r="C175" s="11"/>
      <c r="D175" s="11"/>
      <c r="E175" s="11"/>
      <c r="F175" s="4"/>
      <c r="G175" s="4"/>
      <c r="H175" s="4"/>
      <c r="I175" s="4"/>
      <c r="J175" s="4"/>
      <c r="K175" s="4"/>
    </row>
    <row r="176" spans="1:11" x14ac:dyDescent="0.35">
      <c r="A176" s="115"/>
      <c r="B176" s="255"/>
      <c r="C176" s="11"/>
      <c r="D176" s="11"/>
      <c r="E176" s="11"/>
      <c r="F176" s="4"/>
      <c r="G176" s="4"/>
      <c r="H176" s="4"/>
      <c r="I176" s="4"/>
      <c r="J176" s="4"/>
      <c r="K176" s="4"/>
    </row>
    <row r="177" spans="1:11" x14ac:dyDescent="0.35">
      <c r="A177" s="115"/>
      <c r="B177" s="255"/>
      <c r="C177" s="11"/>
      <c r="D177" s="11"/>
      <c r="E177" s="11"/>
      <c r="F177" s="4"/>
      <c r="G177" s="4"/>
      <c r="H177" s="4"/>
      <c r="I177" s="4"/>
      <c r="J177" s="4"/>
      <c r="K177" s="4"/>
    </row>
    <row r="178" spans="1:11" x14ac:dyDescent="0.35">
      <c r="A178" s="115"/>
      <c r="B178" s="255"/>
      <c r="C178" s="11"/>
      <c r="D178" s="11"/>
      <c r="E178" s="11"/>
      <c r="F178" s="4"/>
      <c r="G178" s="4"/>
      <c r="H178" s="4"/>
      <c r="I178" s="4"/>
      <c r="J178" s="4"/>
      <c r="K178" s="4"/>
    </row>
    <row r="179" spans="1:11" x14ac:dyDescent="0.35">
      <c r="A179" s="115"/>
      <c r="B179" s="255"/>
      <c r="C179" s="11"/>
      <c r="D179" s="11"/>
      <c r="E179" s="11"/>
      <c r="F179" s="4"/>
      <c r="G179" s="4"/>
      <c r="H179" s="4"/>
      <c r="I179" s="4"/>
      <c r="J179" s="4"/>
      <c r="K179" s="4"/>
    </row>
    <row r="180" spans="1:11" x14ac:dyDescent="0.35">
      <c r="A180" s="115"/>
      <c r="B180" s="255"/>
      <c r="C180" s="11"/>
      <c r="D180" s="11"/>
      <c r="E180" s="11"/>
      <c r="F180" s="4"/>
      <c r="G180" s="4"/>
      <c r="H180" s="4"/>
      <c r="I180" s="4"/>
      <c r="J180" s="4"/>
      <c r="K180" s="4"/>
    </row>
    <row r="181" spans="1:11" x14ac:dyDescent="0.35">
      <c r="A181" s="115"/>
      <c r="B181" s="255"/>
      <c r="C181" s="11"/>
      <c r="D181" s="11"/>
      <c r="E181" s="11"/>
      <c r="F181" s="4"/>
      <c r="G181" s="4"/>
      <c r="H181" s="4"/>
      <c r="I181" s="4"/>
      <c r="J181" s="4"/>
      <c r="K181" s="4"/>
    </row>
    <row r="182" spans="1:11" x14ac:dyDescent="0.35">
      <c r="A182" s="115"/>
      <c r="B182" s="255"/>
      <c r="C182" s="11"/>
      <c r="D182" s="11"/>
      <c r="E182" s="11"/>
      <c r="F182" s="4"/>
      <c r="G182" s="4"/>
      <c r="H182" s="4"/>
      <c r="I182" s="4"/>
      <c r="J182" s="4"/>
      <c r="K182" s="4"/>
    </row>
    <row r="183" spans="1:11" x14ac:dyDescent="0.35">
      <c r="A183" s="115"/>
      <c r="B183" s="255"/>
      <c r="C183" s="11"/>
      <c r="D183" s="11"/>
      <c r="E183" s="11"/>
      <c r="F183" s="4"/>
      <c r="G183" s="4"/>
      <c r="H183" s="4"/>
      <c r="I183" s="4"/>
      <c r="J183" s="4"/>
      <c r="K183" s="4"/>
    </row>
    <row r="184" spans="1:11" x14ac:dyDescent="0.35">
      <c r="A184" s="115"/>
      <c r="B184" s="255"/>
      <c r="C184" s="11"/>
      <c r="D184" s="11"/>
      <c r="E184" s="11"/>
      <c r="F184" s="4"/>
      <c r="G184" s="4"/>
      <c r="H184" s="4"/>
      <c r="I184" s="4"/>
      <c r="J184" s="4"/>
      <c r="K184" s="4"/>
    </row>
    <row r="185" spans="1:11" x14ac:dyDescent="0.35">
      <c r="A185" s="115"/>
      <c r="B185" s="255"/>
      <c r="C185" s="11"/>
      <c r="D185" s="11"/>
      <c r="E185" s="11"/>
      <c r="F185" s="4"/>
      <c r="G185" s="4"/>
      <c r="H185" s="4"/>
      <c r="I185" s="4"/>
      <c r="J185" s="4"/>
      <c r="K185" s="4"/>
    </row>
    <row r="186" spans="1:11" x14ac:dyDescent="0.35">
      <c r="A186" s="115"/>
      <c r="B186" s="255"/>
      <c r="C186" s="11"/>
      <c r="D186" s="11"/>
      <c r="E186" s="11"/>
      <c r="F186" s="4"/>
      <c r="G186" s="4"/>
      <c r="H186" s="4"/>
      <c r="I186" s="4"/>
      <c r="J186" s="4"/>
      <c r="K186" s="4"/>
    </row>
    <row r="187" spans="1:11" x14ac:dyDescent="0.35">
      <c r="A187" s="115"/>
      <c r="B187" s="255"/>
      <c r="C187" s="11"/>
      <c r="D187" s="11"/>
      <c r="E187" s="11"/>
      <c r="F187" s="4"/>
      <c r="G187" s="4"/>
      <c r="H187" s="4"/>
      <c r="I187" s="4"/>
      <c r="J187" s="4"/>
      <c r="K187" s="4"/>
    </row>
    <row r="188" spans="1:11" x14ac:dyDescent="0.35">
      <c r="A188" s="115"/>
      <c r="B188" s="255"/>
      <c r="C188" s="11"/>
      <c r="D188" s="11"/>
      <c r="E188" s="11"/>
      <c r="F188" s="4"/>
      <c r="G188" s="4"/>
      <c r="H188" s="4"/>
      <c r="I188" s="4"/>
      <c r="J188" s="4"/>
      <c r="K188" s="4"/>
    </row>
    <row r="189" spans="1:11" x14ac:dyDescent="0.35">
      <c r="A189" s="115"/>
      <c r="B189" s="255"/>
      <c r="C189" s="11"/>
      <c r="D189" s="11"/>
      <c r="E189" s="11"/>
      <c r="F189" s="4"/>
      <c r="G189" s="4"/>
      <c r="H189" s="4"/>
      <c r="I189" s="4"/>
      <c r="J189" s="4"/>
      <c r="K189" s="4"/>
    </row>
    <row r="190" spans="1:11" x14ac:dyDescent="0.35">
      <c r="A190" s="115"/>
      <c r="B190" s="255"/>
      <c r="C190" s="11"/>
      <c r="D190" s="11"/>
      <c r="E190" s="11"/>
      <c r="F190" s="4"/>
      <c r="G190" s="4"/>
      <c r="H190" s="4"/>
      <c r="I190" s="4"/>
      <c r="J190" s="4"/>
      <c r="K190" s="4"/>
    </row>
    <row r="191" spans="1:11" x14ac:dyDescent="0.35">
      <c r="A191" s="115"/>
      <c r="B191" s="255"/>
      <c r="C191" s="11"/>
      <c r="D191" s="11"/>
      <c r="E191" s="11"/>
      <c r="F191" s="4"/>
      <c r="G191" s="4"/>
      <c r="H191" s="4"/>
      <c r="I191" s="4"/>
      <c r="J191" s="4"/>
      <c r="K191" s="4"/>
    </row>
    <row r="192" spans="1:11" x14ac:dyDescent="0.35">
      <c r="A192" s="115"/>
      <c r="B192" s="255"/>
      <c r="C192" s="11"/>
      <c r="D192" s="11"/>
      <c r="E192" s="11"/>
      <c r="F192" s="4"/>
      <c r="G192" s="4"/>
      <c r="H192" s="4"/>
      <c r="I192" s="4"/>
      <c r="J192" s="4"/>
      <c r="K192" s="4"/>
    </row>
    <row r="193" spans="1:11" x14ac:dyDescent="0.35">
      <c r="A193" s="115"/>
      <c r="B193" s="255"/>
      <c r="C193" s="11"/>
      <c r="D193" s="11"/>
      <c r="E193" s="11"/>
      <c r="F193" s="4"/>
      <c r="G193" s="4"/>
      <c r="H193" s="4"/>
      <c r="I193" s="4"/>
      <c r="J193" s="4"/>
      <c r="K193" s="4"/>
    </row>
    <row r="194" spans="1:11" x14ac:dyDescent="0.35">
      <c r="A194" s="115"/>
      <c r="B194" s="255"/>
      <c r="C194" s="11"/>
      <c r="D194" s="11"/>
      <c r="E194" s="11"/>
      <c r="F194" s="4"/>
      <c r="G194" s="4"/>
      <c r="H194" s="4"/>
      <c r="I194" s="4"/>
      <c r="J194" s="4"/>
      <c r="K194" s="4"/>
    </row>
    <row r="195" spans="1:11" x14ac:dyDescent="0.35">
      <c r="A195" s="115"/>
      <c r="B195" s="255"/>
      <c r="C195" s="11"/>
      <c r="D195" s="11"/>
      <c r="E195" s="11"/>
      <c r="F195" s="4"/>
      <c r="G195" s="4"/>
      <c r="H195" s="4"/>
      <c r="I195" s="4"/>
      <c r="J195" s="4"/>
      <c r="K195" s="4"/>
    </row>
    <row r="196" spans="1:11" x14ac:dyDescent="0.35">
      <c r="A196" s="115"/>
      <c r="B196" s="255"/>
      <c r="C196" s="11"/>
      <c r="D196" s="11"/>
      <c r="E196" s="11"/>
      <c r="F196" s="4"/>
      <c r="G196" s="4"/>
      <c r="H196" s="4"/>
      <c r="I196" s="4"/>
      <c r="J196" s="4"/>
      <c r="K196" s="4"/>
    </row>
    <row r="197" spans="1:11" x14ac:dyDescent="0.35">
      <c r="A197" s="115"/>
      <c r="B197" s="255"/>
      <c r="C197" s="11"/>
      <c r="D197" s="11"/>
      <c r="E197" s="11"/>
      <c r="F197" s="4"/>
      <c r="G197" s="4"/>
      <c r="H197" s="4"/>
      <c r="I197" s="4"/>
      <c r="J197" s="4"/>
      <c r="K197" s="4"/>
    </row>
    <row r="198" spans="1:11" x14ac:dyDescent="0.35">
      <c r="A198" s="115"/>
      <c r="B198" s="255"/>
      <c r="C198" s="11"/>
      <c r="D198" s="11"/>
      <c r="E198" s="11"/>
      <c r="F198" s="4"/>
      <c r="G198" s="4"/>
      <c r="H198" s="4"/>
      <c r="I198" s="4"/>
      <c r="J198" s="4"/>
      <c r="K198" s="4"/>
    </row>
    <row r="199" spans="1:11" x14ac:dyDescent="0.35">
      <c r="A199" s="115"/>
      <c r="B199" s="255"/>
      <c r="C199" s="11"/>
      <c r="D199" s="11"/>
      <c r="E199" s="11"/>
      <c r="F199" s="4"/>
      <c r="G199" s="4"/>
      <c r="H199" s="4"/>
      <c r="I199" s="4"/>
      <c r="J199" s="4"/>
      <c r="K199" s="4"/>
    </row>
    <row r="200" spans="1:11" x14ac:dyDescent="0.35">
      <c r="A200" s="115"/>
      <c r="B200" s="255"/>
      <c r="C200" s="11"/>
      <c r="D200" s="11"/>
      <c r="E200" s="11"/>
      <c r="F200" s="4"/>
      <c r="G200" s="4"/>
      <c r="H200" s="4"/>
      <c r="I200" s="4"/>
      <c r="J200" s="4"/>
      <c r="K200" s="4"/>
    </row>
    <row r="201" spans="1:11" x14ac:dyDescent="0.35">
      <c r="A201" s="115"/>
      <c r="B201" s="255"/>
      <c r="C201" s="11"/>
      <c r="D201" s="11"/>
      <c r="E201" s="11"/>
      <c r="F201" s="4"/>
      <c r="G201" s="4"/>
      <c r="H201" s="4"/>
      <c r="I201" s="4"/>
      <c r="J201" s="4"/>
      <c r="K201" s="4"/>
    </row>
    <row r="202" spans="1:11" x14ac:dyDescent="0.35">
      <c r="A202" s="115"/>
      <c r="B202" s="255"/>
      <c r="C202" s="11"/>
      <c r="D202" s="11"/>
      <c r="E202" s="11"/>
      <c r="F202" s="4"/>
      <c r="G202" s="4"/>
      <c r="H202" s="4"/>
      <c r="I202" s="4"/>
      <c r="J202" s="4"/>
      <c r="K202" s="4"/>
    </row>
    <row r="203" spans="1:11" x14ac:dyDescent="0.35">
      <c r="A203" s="115"/>
      <c r="B203" s="255"/>
      <c r="C203" s="11"/>
      <c r="D203" s="11"/>
      <c r="E203" s="11"/>
      <c r="F203" s="4"/>
      <c r="G203" s="4"/>
      <c r="H203" s="4"/>
      <c r="I203" s="4"/>
      <c r="J203" s="4"/>
      <c r="K203" s="4"/>
    </row>
    <row r="204" spans="1:11" x14ac:dyDescent="0.35">
      <c r="A204" s="115"/>
      <c r="B204" s="255"/>
      <c r="C204" s="11"/>
      <c r="D204" s="11"/>
      <c r="E204" s="11"/>
      <c r="F204" s="4"/>
      <c r="G204" s="4"/>
      <c r="H204" s="4"/>
      <c r="I204" s="4"/>
      <c r="J204" s="4"/>
      <c r="K204" s="4"/>
    </row>
    <row r="205" spans="1:11" x14ac:dyDescent="0.35">
      <c r="A205" s="115"/>
      <c r="B205" s="255"/>
      <c r="C205" s="11"/>
      <c r="D205" s="11"/>
      <c r="E205" s="11"/>
      <c r="F205" s="4"/>
      <c r="G205" s="4"/>
      <c r="H205" s="4"/>
      <c r="I205" s="4"/>
      <c r="J205" s="4"/>
      <c r="K205" s="4"/>
    </row>
    <row r="206" spans="1:11" x14ac:dyDescent="0.35">
      <c r="A206" s="115"/>
      <c r="B206" s="255"/>
      <c r="C206" s="11"/>
      <c r="D206" s="11"/>
      <c r="E206" s="11"/>
      <c r="F206" s="4"/>
      <c r="G206" s="4"/>
      <c r="H206" s="4"/>
      <c r="I206" s="4"/>
      <c r="J206" s="4"/>
      <c r="K206" s="4"/>
    </row>
    <row r="207" spans="1:11" x14ac:dyDescent="0.35">
      <c r="A207" s="115"/>
      <c r="B207" s="255"/>
      <c r="C207" s="11"/>
      <c r="D207" s="11"/>
      <c r="E207" s="11"/>
      <c r="F207" s="4"/>
      <c r="G207" s="4"/>
      <c r="H207" s="4"/>
      <c r="I207" s="4"/>
      <c r="J207" s="4"/>
      <c r="K207" s="4"/>
    </row>
    <row r="208" spans="1:11" x14ac:dyDescent="0.35">
      <c r="A208" s="115"/>
      <c r="B208" s="255"/>
      <c r="C208" s="11"/>
      <c r="D208" s="11"/>
      <c r="E208" s="11"/>
      <c r="F208" s="4"/>
      <c r="G208" s="4"/>
      <c r="H208" s="4"/>
      <c r="I208" s="4"/>
      <c r="J208" s="4"/>
      <c r="K208" s="4"/>
    </row>
    <row r="209" spans="1:11" x14ac:dyDescent="0.35">
      <c r="A209" s="115"/>
      <c r="B209" s="255"/>
      <c r="C209" s="11"/>
      <c r="D209" s="11"/>
      <c r="E209" s="11"/>
      <c r="F209" s="4"/>
      <c r="G209" s="4"/>
      <c r="H209" s="4"/>
      <c r="I209" s="4"/>
      <c r="J209" s="4"/>
      <c r="K209" s="4"/>
    </row>
    <row r="210" spans="1:11" x14ac:dyDescent="0.35">
      <c r="A210" s="115"/>
      <c r="B210" s="255"/>
      <c r="C210" s="11"/>
      <c r="D210" s="11"/>
      <c r="E210" s="11"/>
      <c r="F210" s="4"/>
      <c r="G210" s="4"/>
      <c r="H210" s="4"/>
      <c r="I210" s="4"/>
      <c r="J210" s="4"/>
      <c r="K210" s="4"/>
    </row>
    <row r="211" spans="1:11" x14ac:dyDescent="0.35">
      <c r="A211" s="115"/>
      <c r="B211" s="255"/>
      <c r="C211" s="11"/>
      <c r="D211" s="11"/>
      <c r="E211" s="11"/>
      <c r="F211" s="4"/>
      <c r="G211" s="4"/>
      <c r="H211" s="4"/>
      <c r="I211" s="4"/>
      <c r="J211" s="4"/>
      <c r="K211" s="4"/>
    </row>
    <row r="212" spans="1:11" x14ac:dyDescent="0.35">
      <c r="A212" s="115"/>
      <c r="B212" s="255"/>
      <c r="C212" s="11"/>
      <c r="D212" s="11"/>
      <c r="E212" s="11"/>
      <c r="F212" s="4"/>
      <c r="G212" s="4"/>
      <c r="H212" s="4"/>
      <c r="I212" s="4"/>
      <c r="J212" s="4"/>
      <c r="K212" s="4"/>
    </row>
    <row r="213" spans="1:11" x14ac:dyDescent="0.35">
      <c r="A213" s="115"/>
      <c r="B213" s="255"/>
      <c r="C213" s="11"/>
      <c r="D213" s="11"/>
      <c r="E213" s="11"/>
      <c r="F213" s="4"/>
      <c r="G213" s="4"/>
      <c r="H213" s="4"/>
      <c r="I213" s="4"/>
      <c r="J213" s="4"/>
      <c r="K213" s="4"/>
    </row>
    <row r="214" spans="1:11" x14ac:dyDescent="0.35">
      <c r="A214" s="115"/>
      <c r="B214" s="255"/>
      <c r="C214" s="11"/>
      <c r="D214" s="11"/>
      <c r="E214" s="11"/>
      <c r="F214" s="4"/>
      <c r="G214" s="4"/>
      <c r="H214" s="4"/>
      <c r="I214" s="4"/>
      <c r="J214" s="4"/>
      <c r="K214" s="4"/>
    </row>
    <row r="215" spans="1:11" x14ac:dyDescent="0.35">
      <c r="A215" s="115"/>
      <c r="B215" s="255"/>
      <c r="C215" s="11"/>
      <c r="D215" s="11"/>
      <c r="E215" s="11"/>
      <c r="F215" s="4"/>
      <c r="G215" s="4"/>
      <c r="H215" s="4"/>
      <c r="I215" s="4"/>
      <c r="J215" s="4"/>
      <c r="K215" s="4"/>
    </row>
    <row r="216" spans="1:11" x14ac:dyDescent="0.35">
      <c r="A216" s="115"/>
      <c r="B216" s="255"/>
      <c r="C216" s="11"/>
      <c r="D216" s="11"/>
      <c r="E216" s="11"/>
      <c r="F216" s="4"/>
      <c r="G216" s="4"/>
      <c r="H216" s="4"/>
      <c r="I216" s="4"/>
      <c r="J216" s="4"/>
      <c r="K216" s="4"/>
    </row>
    <row r="217" spans="1:11" x14ac:dyDescent="0.35">
      <c r="A217" s="115"/>
      <c r="B217" s="255"/>
      <c r="C217" s="11"/>
      <c r="D217" s="11"/>
      <c r="E217" s="11"/>
      <c r="F217" s="4"/>
      <c r="G217" s="4"/>
      <c r="H217" s="4"/>
      <c r="I217" s="4"/>
      <c r="J217" s="4"/>
      <c r="K217" s="4"/>
    </row>
    <row r="218" spans="1:11" x14ac:dyDescent="0.35">
      <c r="A218" s="115"/>
      <c r="B218" s="255"/>
      <c r="C218" s="11"/>
      <c r="D218" s="11"/>
      <c r="E218" s="11"/>
      <c r="F218" s="4"/>
      <c r="G218" s="4"/>
      <c r="H218" s="4"/>
      <c r="I218" s="4"/>
      <c r="J218" s="4"/>
      <c r="K218" s="4"/>
    </row>
    <row r="219" spans="1:11" x14ac:dyDescent="0.35">
      <c r="A219" s="115"/>
      <c r="B219" s="255"/>
      <c r="C219" s="11"/>
      <c r="D219" s="11"/>
      <c r="E219" s="11"/>
      <c r="F219" s="4"/>
      <c r="G219" s="4"/>
      <c r="H219" s="4"/>
      <c r="I219" s="4"/>
      <c r="J219" s="4"/>
      <c r="K219" s="4"/>
    </row>
    <row r="220" spans="1:11" x14ac:dyDescent="0.35">
      <c r="A220" s="115"/>
      <c r="B220" s="255"/>
      <c r="C220" s="11"/>
      <c r="D220" s="11"/>
      <c r="E220" s="11"/>
      <c r="F220" s="4"/>
      <c r="G220" s="4"/>
      <c r="H220" s="4"/>
      <c r="I220" s="4"/>
      <c r="J220" s="4"/>
      <c r="K220" s="4"/>
    </row>
    <row r="221" spans="1:11" x14ac:dyDescent="0.35">
      <c r="A221" s="115"/>
      <c r="B221" s="255"/>
      <c r="C221" s="11"/>
      <c r="D221" s="11"/>
      <c r="E221" s="11"/>
      <c r="F221" s="4"/>
      <c r="G221" s="4"/>
      <c r="H221" s="4"/>
      <c r="I221" s="4"/>
      <c r="J221" s="4"/>
      <c r="K221" s="4"/>
    </row>
    <row r="222" spans="1:11" x14ac:dyDescent="0.35">
      <c r="A222" s="115"/>
      <c r="B222" s="255"/>
      <c r="C222" s="11"/>
      <c r="D222" s="11"/>
      <c r="E222" s="11"/>
      <c r="F222" s="4"/>
      <c r="G222" s="4"/>
      <c r="H222" s="4"/>
      <c r="I222" s="4"/>
      <c r="J222" s="4"/>
      <c r="K222" s="4"/>
    </row>
    <row r="223" spans="1:11" x14ac:dyDescent="0.35">
      <c r="A223" s="115"/>
      <c r="B223" s="255"/>
      <c r="C223" s="11"/>
      <c r="D223" s="11"/>
      <c r="E223" s="11"/>
      <c r="F223" s="4"/>
      <c r="G223" s="4"/>
      <c r="H223" s="4"/>
      <c r="I223" s="4"/>
      <c r="J223" s="4"/>
      <c r="K223" s="4"/>
    </row>
    <row r="224" spans="1:11" x14ac:dyDescent="0.35">
      <c r="A224" s="115"/>
      <c r="B224" s="255"/>
      <c r="C224" s="11"/>
      <c r="D224" s="11"/>
      <c r="E224" s="11"/>
      <c r="F224" s="4"/>
      <c r="G224" s="4"/>
      <c r="H224" s="4"/>
      <c r="I224" s="4"/>
      <c r="J224" s="4"/>
      <c r="K224" s="4"/>
    </row>
    <row r="225" spans="1:11" x14ac:dyDescent="0.35">
      <c r="A225" s="115"/>
      <c r="B225" s="255"/>
      <c r="C225" s="11"/>
      <c r="D225" s="11"/>
      <c r="E225" s="11"/>
      <c r="F225" s="4"/>
      <c r="G225" s="4"/>
      <c r="H225" s="4"/>
      <c r="I225" s="4"/>
      <c r="J225" s="4"/>
      <c r="K225" s="4"/>
    </row>
    <row r="226" spans="1:11" x14ac:dyDescent="0.35">
      <c r="A226" s="115"/>
      <c r="B226" s="255"/>
      <c r="C226" s="11"/>
      <c r="D226" s="11"/>
      <c r="E226" s="11"/>
      <c r="F226" s="4"/>
      <c r="G226" s="4"/>
      <c r="H226" s="4"/>
      <c r="I226" s="4"/>
      <c r="J226" s="4"/>
      <c r="K226" s="4"/>
    </row>
    <row r="227" spans="1:11" x14ac:dyDescent="0.35">
      <c r="A227" s="115"/>
      <c r="B227" s="255"/>
      <c r="C227" s="11"/>
      <c r="D227" s="11"/>
      <c r="E227" s="11"/>
      <c r="F227" s="4"/>
      <c r="G227" s="4"/>
      <c r="H227" s="4"/>
      <c r="I227" s="4"/>
      <c r="J227" s="4"/>
      <c r="K227" s="4"/>
    </row>
    <row r="228" spans="1:11" x14ac:dyDescent="0.35">
      <c r="A228" s="115"/>
      <c r="B228" s="255"/>
      <c r="C228" s="11"/>
      <c r="D228" s="11"/>
      <c r="E228" s="11"/>
      <c r="F228" s="4"/>
      <c r="G228" s="4"/>
      <c r="H228" s="4"/>
      <c r="I228" s="4"/>
      <c r="J228" s="4"/>
      <c r="K228" s="4"/>
    </row>
    <row r="229" spans="1:11" x14ac:dyDescent="0.35">
      <c r="A229" s="115"/>
      <c r="B229" s="255"/>
      <c r="C229" s="11"/>
      <c r="D229" s="11"/>
      <c r="E229" s="11"/>
      <c r="F229" s="4"/>
      <c r="G229" s="4"/>
      <c r="H229" s="4"/>
      <c r="I229" s="4"/>
      <c r="J229" s="4"/>
      <c r="K229" s="4"/>
    </row>
    <row r="230" spans="1:11" x14ac:dyDescent="0.35">
      <c r="A230" s="115"/>
      <c r="B230" s="255"/>
      <c r="C230" s="11"/>
      <c r="D230" s="11"/>
      <c r="E230" s="11"/>
      <c r="F230" s="4"/>
      <c r="G230" s="4"/>
      <c r="H230" s="4"/>
      <c r="I230" s="4"/>
      <c r="J230" s="4"/>
      <c r="K230" s="4"/>
    </row>
    <row r="231" spans="1:11" x14ac:dyDescent="0.35">
      <c r="A231" s="115"/>
      <c r="B231" s="255"/>
      <c r="C231" s="11"/>
      <c r="D231" s="11"/>
      <c r="E231" s="11"/>
      <c r="F231" s="4"/>
      <c r="G231" s="4"/>
      <c r="H231" s="4"/>
      <c r="I231" s="4"/>
      <c r="J231" s="4"/>
      <c r="K231" s="4"/>
    </row>
    <row r="232" spans="1:11" x14ac:dyDescent="0.35">
      <c r="A232" s="115"/>
      <c r="B232" s="255"/>
      <c r="C232" s="11"/>
      <c r="D232" s="11"/>
      <c r="E232" s="11"/>
      <c r="F232" s="4"/>
      <c r="G232" s="4"/>
      <c r="H232" s="4"/>
      <c r="I232" s="4"/>
      <c r="J232" s="4"/>
      <c r="K232" s="4"/>
    </row>
    <row r="233" spans="1:11" x14ac:dyDescent="0.35">
      <c r="A233" s="115"/>
      <c r="B233" s="255"/>
      <c r="C233" s="11"/>
      <c r="D233" s="11"/>
      <c r="E233" s="11"/>
      <c r="F233" s="4"/>
      <c r="G233" s="4"/>
      <c r="H233" s="4"/>
      <c r="I233" s="4"/>
      <c r="J233" s="4"/>
      <c r="K233" s="4"/>
    </row>
    <row r="234" spans="1:11" x14ac:dyDescent="0.35">
      <c r="A234" s="115"/>
      <c r="B234" s="255"/>
      <c r="C234" s="11"/>
      <c r="D234" s="11"/>
      <c r="E234" s="11"/>
      <c r="F234" s="4"/>
      <c r="G234" s="4"/>
      <c r="H234" s="4"/>
      <c r="I234" s="4"/>
      <c r="J234" s="4"/>
      <c r="K234" s="4"/>
    </row>
    <row r="235" spans="1:11" x14ac:dyDescent="0.35">
      <c r="A235" s="115"/>
      <c r="B235" s="255"/>
      <c r="C235" s="11"/>
      <c r="D235" s="11"/>
      <c r="E235" s="11"/>
      <c r="F235" s="4"/>
      <c r="G235" s="4"/>
      <c r="H235" s="4"/>
      <c r="I235" s="4"/>
      <c r="J235" s="4"/>
      <c r="K235" s="4"/>
    </row>
    <row r="236" spans="1:11" x14ac:dyDescent="0.35">
      <c r="A236" s="115"/>
      <c r="B236" s="255"/>
      <c r="C236" s="11"/>
      <c r="D236" s="11"/>
      <c r="E236" s="11"/>
      <c r="F236" s="4"/>
      <c r="G236" s="4"/>
      <c r="H236" s="4"/>
      <c r="I236" s="4"/>
      <c r="J236" s="4"/>
      <c r="K236" s="4"/>
    </row>
    <row r="237" spans="1:11" x14ac:dyDescent="0.35">
      <c r="A237" s="115"/>
      <c r="B237" s="255"/>
      <c r="C237" s="11"/>
      <c r="D237" s="11"/>
      <c r="E237" s="11"/>
      <c r="F237" s="4"/>
      <c r="G237" s="4"/>
      <c r="H237" s="4"/>
      <c r="I237" s="4"/>
      <c r="J237" s="4"/>
      <c r="K237" s="4"/>
    </row>
    <row r="238" spans="1:11" x14ac:dyDescent="0.35">
      <c r="A238" s="115"/>
      <c r="B238" s="255"/>
      <c r="C238" s="11"/>
      <c r="D238" s="11"/>
      <c r="E238" s="11"/>
      <c r="F238" s="4"/>
      <c r="G238" s="4"/>
      <c r="H238" s="4"/>
      <c r="I238" s="4"/>
      <c r="J238" s="4"/>
      <c r="K238" s="4"/>
    </row>
    <row r="239" spans="1:11" x14ac:dyDescent="0.35">
      <c r="A239" s="115"/>
      <c r="B239" s="255"/>
      <c r="C239" s="11"/>
      <c r="D239" s="11"/>
      <c r="E239" s="11"/>
      <c r="F239" s="4"/>
      <c r="G239" s="4"/>
      <c r="H239" s="4"/>
      <c r="I239" s="4"/>
      <c r="J239" s="4"/>
      <c r="K239" s="4"/>
    </row>
    <row r="240" spans="1:11" x14ac:dyDescent="0.35">
      <c r="A240" s="115"/>
      <c r="B240" s="255"/>
      <c r="C240" s="11"/>
      <c r="D240" s="11"/>
      <c r="E240" s="11"/>
      <c r="F240" s="4"/>
      <c r="G240" s="4"/>
      <c r="H240" s="4"/>
      <c r="I240" s="4"/>
      <c r="J240" s="4"/>
      <c r="K240" s="4"/>
    </row>
    <row r="241" spans="1:11" x14ac:dyDescent="0.35">
      <c r="A241" s="115"/>
      <c r="B241" s="255"/>
      <c r="C241" s="11"/>
      <c r="D241" s="11"/>
      <c r="E241" s="11"/>
      <c r="F241" s="4"/>
      <c r="G241" s="4"/>
      <c r="H241" s="4"/>
      <c r="I241" s="4"/>
      <c r="J241" s="4"/>
      <c r="K241" s="4"/>
    </row>
    <row r="242" spans="1:11" x14ac:dyDescent="0.35">
      <c r="A242" s="115"/>
      <c r="B242" s="255"/>
      <c r="C242" s="11"/>
      <c r="D242" s="11"/>
      <c r="E242" s="11"/>
      <c r="F242" s="4"/>
      <c r="G242" s="4"/>
      <c r="H242" s="4"/>
      <c r="I242" s="4"/>
      <c r="J242" s="4"/>
      <c r="K242" s="4"/>
    </row>
    <row r="243" spans="1:11" x14ac:dyDescent="0.35">
      <c r="A243" s="115"/>
      <c r="B243" s="255"/>
      <c r="C243" s="11"/>
      <c r="D243" s="11"/>
      <c r="E243" s="11"/>
      <c r="F243" s="4"/>
      <c r="G243" s="4"/>
      <c r="H243" s="4"/>
      <c r="I243" s="4"/>
      <c r="J243" s="4"/>
      <c r="K243" s="4"/>
    </row>
    <row r="244" spans="1:11" x14ac:dyDescent="0.35">
      <c r="A244" s="115"/>
      <c r="B244" s="255"/>
      <c r="C244" s="11"/>
      <c r="D244" s="11"/>
      <c r="E244" s="11"/>
      <c r="F244" s="4"/>
      <c r="G244" s="4"/>
      <c r="H244" s="4"/>
      <c r="I244" s="4"/>
      <c r="J244" s="4"/>
      <c r="K244" s="4"/>
    </row>
    <row r="245" spans="1:11" x14ac:dyDescent="0.35">
      <c r="A245" s="115"/>
      <c r="B245" s="255"/>
      <c r="C245" s="11"/>
      <c r="D245" s="11"/>
      <c r="E245" s="11"/>
      <c r="F245" s="4"/>
      <c r="G245" s="4"/>
      <c r="H245" s="4"/>
      <c r="I245" s="4"/>
      <c r="J245" s="4"/>
      <c r="K245" s="4"/>
    </row>
    <row r="246" spans="1:11" x14ac:dyDescent="0.35">
      <c r="A246" s="115"/>
      <c r="B246" s="255"/>
      <c r="C246" s="11"/>
      <c r="D246" s="11"/>
      <c r="E246" s="11"/>
      <c r="F246" s="4"/>
      <c r="G246" s="4"/>
      <c r="H246" s="4"/>
      <c r="I246" s="4"/>
      <c r="J246" s="4"/>
      <c r="K246" s="4"/>
    </row>
    <row r="247" spans="1:11" x14ac:dyDescent="0.35">
      <c r="A247" s="115"/>
      <c r="B247" s="255"/>
      <c r="C247" s="11"/>
      <c r="D247" s="11"/>
      <c r="E247" s="11"/>
      <c r="F247" s="4"/>
      <c r="G247" s="4"/>
      <c r="H247" s="4"/>
      <c r="I247" s="4"/>
      <c r="J247" s="4"/>
      <c r="K247" s="4"/>
    </row>
    <row r="248" spans="1:11" x14ac:dyDescent="0.35">
      <c r="A248" s="115"/>
      <c r="B248" s="255"/>
      <c r="C248" s="11"/>
      <c r="D248" s="11"/>
      <c r="E248" s="11"/>
      <c r="F248" s="4"/>
      <c r="G248" s="4"/>
      <c r="H248" s="4"/>
      <c r="I248" s="4"/>
      <c r="J248" s="4"/>
      <c r="K248" s="4"/>
    </row>
    <row r="249" spans="1:11" x14ac:dyDescent="0.35">
      <c r="A249" s="115"/>
      <c r="B249" s="255"/>
      <c r="C249" s="11"/>
      <c r="D249" s="11"/>
      <c r="E249" s="11"/>
      <c r="F249" s="4"/>
      <c r="G249" s="4"/>
      <c r="H249" s="4"/>
      <c r="I249" s="4"/>
      <c r="J249" s="4"/>
      <c r="K249" s="4"/>
    </row>
    <row r="250" spans="1:11" x14ac:dyDescent="0.35">
      <c r="A250" s="115"/>
      <c r="B250" s="255"/>
      <c r="C250" s="11"/>
      <c r="D250" s="11"/>
      <c r="E250" s="11"/>
      <c r="F250" s="4"/>
      <c r="G250" s="4"/>
      <c r="H250" s="4"/>
      <c r="I250" s="4"/>
      <c r="J250" s="4"/>
      <c r="K250" s="4"/>
    </row>
    <row r="251" spans="1:11" x14ac:dyDescent="0.35">
      <c r="A251" s="115"/>
      <c r="B251" s="255"/>
      <c r="C251" s="11"/>
      <c r="D251" s="11"/>
      <c r="E251" s="11"/>
      <c r="F251" s="4"/>
      <c r="G251" s="4"/>
      <c r="H251" s="4"/>
      <c r="I251" s="4"/>
      <c r="J251" s="4"/>
      <c r="K251" s="4"/>
    </row>
    <row r="252" spans="1:11" x14ac:dyDescent="0.35">
      <c r="A252" s="115"/>
      <c r="B252" s="255"/>
      <c r="C252" s="11"/>
      <c r="D252" s="11"/>
      <c r="E252" s="11"/>
      <c r="F252" s="4"/>
      <c r="G252" s="4"/>
      <c r="H252" s="4"/>
      <c r="I252" s="4"/>
      <c r="J252" s="4"/>
      <c r="K252" s="4"/>
    </row>
    <row r="253" spans="1:11" x14ac:dyDescent="0.35">
      <c r="A253" s="115"/>
      <c r="B253" s="255"/>
      <c r="C253" s="11"/>
      <c r="D253" s="11"/>
      <c r="E253" s="11"/>
      <c r="F253" s="4"/>
      <c r="G253" s="4"/>
      <c r="H253" s="4"/>
      <c r="I253" s="4"/>
      <c r="J253" s="4"/>
      <c r="K253" s="4"/>
    </row>
    <row r="254" spans="1:11" x14ac:dyDescent="0.35">
      <c r="A254" s="115"/>
      <c r="B254" s="255"/>
      <c r="C254" s="11"/>
      <c r="D254" s="11"/>
      <c r="E254" s="11"/>
      <c r="F254" s="4"/>
      <c r="G254" s="4"/>
      <c r="H254" s="4"/>
      <c r="I254" s="4"/>
      <c r="J254" s="4"/>
      <c r="K254" s="4"/>
    </row>
    <row r="255" spans="1:11" x14ac:dyDescent="0.35">
      <c r="A255" s="115"/>
      <c r="B255" s="255"/>
      <c r="C255" s="11"/>
      <c r="D255" s="11"/>
      <c r="E255" s="11"/>
      <c r="F255" s="4"/>
      <c r="G255" s="4"/>
      <c r="H255" s="4"/>
      <c r="I255" s="4"/>
      <c r="J255" s="4"/>
      <c r="K255" s="4"/>
    </row>
    <row r="256" spans="1:11" x14ac:dyDescent="0.35">
      <c r="A256" s="115"/>
      <c r="B256" s="255"/>
      <c r="C256" s="11"/>
      <c r="D256" s="11"/>
      <c r="E256" s="11"/>
      <c r="F256" s="4"/>
      <c r="G256" s="4"/>
      <c r="H256" s="4"/>
      <c r="I256" s="4"/>
      <c r="J256" s="4"/>
      <c r="K256" s="4"/>
    </row>
    <row r="257" spans="1:11" x14ac:dyDescent="0.35">
      <c r="A257" s="115"/>
      <c r="B257" s="255"/>
      <c r="C257" s="11"/>
      <c r="D257" s="11"/>
      <c r="E257" s="11"/>
      <c r="F257" s="4"/>
      <c r="G257" s="4"/>
      <c r="H257" s="4"/>
      <c r="I257" s="4"/>
      <c r="J257" s="4"/>
      <c r="K257" s="4"/>
    </row>
    <row r="258" spans="1:11" x14ac:dyDescent="0.35">
      <c r="A258" s="115"/>
      <c r="B258" s="255"/>
      <c r="C258" s="11"/>
      <c r="D258" s="11"/>
      <c r="E258" s="11"/>
      <c r="F258" s="4"/>
      <c r="G258" s="4"/>
      <c r="H258" s="4"/>
      <c r="I258" s="4"/>
      <c r="J258" s="4"/>
      <c r="K258" s="4"/>
    </row>
    <row r="259" spans="1:11" x14ac:dyDescent="0.35">
      <c r="A259" s="115"/>
      <c r="B259" s="255"/>
      <c r="C259" s="11"/>
      <c r="D259" s="11"/>
      <c r="E259" s="11"/>
      <c r="F259" s="4"/>
      <c r="G259" s="4"/>
      <c r="H259" s="4"/>
      <c r="I259" s="4"/>
      <c r="J259" s="4"/>
      <c r="K259" s="4"/>
    </row>
    <row r="260" spans="1:11" x14ac:dyDescent="0.35">
      <c r="A260" s="115"/>
      <c r="B260" s="255"/>
      <c r="C260" s="11"/>
      <c r="D260" s="11"/>
      <c r="E260" s="11"/>
      <c r="F260" s="4"/>
      <c r="G260" s="4"/>
      <c r="H260" s="4"/>
      <c r="I260" s="4"/>
      <c r="J260" s="4"/>
      <c r="K260" s="4"/>
    </row>
    <row r="261" spans="1:11" x14ac:dyDescent="0.35">
      <c r="A261" s="115"/>
      <c r="B261" s="255"/>
      <c r="C261" s="11"/>
      <c r="D261" s="11"/>
      <c r="E261" s="11"/>
      <c r="F261" s="4"/>
      <c r="G261" s="4"/>
      <c r="H261" s="4"/>
      <c r="I261" s="4"/>
      <c r="J261" s="4"/>
      <c r="K261" s="4"/>
    </row>
    <row r="262" spans="1:11" x14ac:dyDescent="0.35">
      <c r="A262" s="115"/>
      <c r="B262" s="255"/>
      <c r="C262" s="11"/>
      <c r="D262" s="11"/>
      <c r="E262" s="11"/>
      <c r="F262" s="4"/>
      <c r="G262" s="4"/>
      <c r="H262" s="4"/>
      <c r="I262" s="4"/>
      <c r="J262" s="4"/>
      <c r="K262" s="4"/>
    </row>
    <row r="263" spans="1:11" x14ac:dyDescent="0.35">
      <c r="A263" s="115"/>
      <c r="B263" s="255"/>
      <c r="C263" s="11"/>
      <c r="D263" s="11"/>
      <c r="E263" s="11"/>
      <c r="F263" s="4"/>
      <c r="G263" s="4"/>
      <c r="H263" s="4"/>
      <c r="I263" s="4"/>
      <c r="J263" s="4"/>
      <c r="K263" s="4"/>
    </row>
    <row r="264" spans="1:11" x14ac:dyDescent="0.35">
      <c r="A264" s="115"/>
      <c r="B264" s="255"/>
      <c r="C264" s="11"/>
      <c r="D264" s="11"/>
      <c r="E264" s="11"/>
      <c r="F264" s="4"/>
      <c r="G264" s="4"/>
      <c r="H264" s="4"/>
      <c r="I264" s="4"/>
      <c r="J264" s="4"/>
      <c r="K264" s="4"/>
    </row>
    <row r="265" spans="1:11" x14ac:dyDescent="0.35">
      <c r="A265" s="115"/>
      <c r="B265" s="255"/>
      <c r="C265" s="11"/>
      <c r="D265" s="11"/>
      <c r="E265" s="11"/>
      <c r="F265" s="4"/>
      <c r="G265" s="4"/>
      <c r="H265" s="4"/>
      <c r="I265" s="4"/>
      <c r="J265" s="4"/>
      <c r="K265" s="4"/>
    </row>
    <row r="266" spans="1:11" x14ac:dyDescent="0.35">
      <c r="A266" s="115"/>
      <c r="B266" s="255"/>
      <c r="C266" s="11"/>
      <c r="D266" s="11"/>
      <c r="E266" s="11"/>
      <c r="F266" s="4"/>
      <c r="G266" s="4"/>
      <c r="H266" s="4"/>
      <c r="I266" s="4"/>
      <c r="J266" s="4"/>
      <c r="K266" s="4"/>
    </row>
    <row r="267" spans="1:11" x14ac:dyDescent="0.35">
      <c r="A267" s="115"/>
      <c r="B267" s="255"/>
      <c r="C267" s="11"/>
      <c r="D267" s="11"/>
      <c r="E267" s="11"/>
      <c r="F267" s="4"/>
      <c r="G267" s="4"/>
      <c r="H267" s="4"/>
      <c r="I267" s="4"/>
      <c r="J267" s="4"/>
      <c r="K267" s="4"/>
    </row>
    <row r="268" spans="1:11" x14ac:dyDescent="0.35">
      <c r="A268" s="115"/>
      <c r="B268" s="255"/>
      <c r="C268" s="11"/>
      <c r="D268" s="11"/>
      <c r="E268" s="11"/>
      <c r="F268" s="4"/>
      <c r="G268" s="4"/>
      <c r="H268" s="4"/>
      <c r="I268" s="4"/>
      <c r="J268" s="4"/>
      <c r="K268" s="4"/>
    </row>
    <row r="269" spans="1:11" x14ac:dyDescent="0.35">
      <c r="A269" s="115"/>
      <c r="B269" s="255"/>
      <c r="C269" s="11"/>
      <c r="D269" s="11"/>
      <c r="E269" s="11"/>
      <c r="F269" s="4"/>
      <c r="G269" s="4"/>
      <c r="H269" s="4"/>
      <c r="I269" s="4"/>
      <c r="J269" s="4"/>
      <c r="K269" s="4"/>
    </row>
    <row r="270" spans="1:11" x14ac:dyDescent="0.35">
      <c r="A270" s="115"/>
      <c r="B270" s="255"/>
      <c r="C270" s="11"/>
      <c r="D270" s="11"/>
      <c r="E270" s="11"/>
      <c r="F270" s="4"/>
      <c r="G270" s="4"/>
      <c r="H270" s="4"/>
      <c r="I270" s="4"/>
      <c r="J270" s="4"/>
      <c r="K270" s="4"/>
    </row>
    <row r="271" spans="1:11" x14ac:dyDescent="0.35">
      <c r="A271" s="115"/>
      <c r="B271" s="255"/>
      <c r="C271" s="11"/>
      <c r="D271" s="11"/>
      <c r="E271" s="11"/>
      <c r="F271" s="4"/>
      <c r="G271" s="4"/>
      <c r="H271" s="4"/>
      <c r="I271" s="4"/>
      <c r="J271" s="4"/>
      <c r="K271" s="4"/>
    </row>
    <row r="272" spans="1:11" x14ac:dyDescent="0.35">
      <c r="A272" s="115"/>
      <c r="B272" s="255"/>
      <c r="C272" s="11"/>
      <c r="D272" s="11"/>
      <c r="E272" s="11"/>
      <c r="F272" s="4"/>
      <c r="G272" s="4"/>
      <c r="H272" s="4"/>
      <c r="I272" s="4"/>
      <c r="J272" s="4"/>
      <c r="K272" s="4"/>
    </row>
    <row r="273" spans="1:11" x14ac:dyDescent="0.35">
      <c r="A273" s="115"/>
      <c r="B273" s="255"/>
      <c r="C273" s="11"/>
      <c r="D273" s="11"/>
      <c r="E273" s="11"/>
      <c r="F273" s="4"/>
      <c r="G273" s="4"/>
      <c r="H273" s="4"/>
      <c r="I273" s="4"/>
      <c r="J273" s="4"/>
      <c r="K273" s="4"/>
    </row>
    <row r="274" spans="1:11" x14ac:dyDescent="0.35">
      <c r="A274" s="115"/>
      <c r="B274" s="255"/>
      <c r="C274" s="11"/>
      <c r="D274" s="11"/>
      <c r="E274" s="11"/>
      <c r="F274" s="4"/>
      <c r="G274" s="4"/>
      <c r="H274" s="4"/>
      <c r="I274" s="4"/>
      <c r="J274" s="4"/>
      <c r="K274" s="4"/>
    </row>
    <row r="275" spans="1:11" x14ac:dyDescent="0.35">
      <c r="A275" s="115"/>
      <c r="B275" s="255"/>
      <c r="C275" s="11"/>
      <c r="D275" s="11"/>
      <c r="E275" s="11"/>
      <c r="F275" s="4"/>
      <c r="G275" s="4"/>
      <c r="H275" s="4"/>
      <c r="I275" s="4"/>
      <c r="J275" s="4"/>
      <c r="K275" s="4"/>
    </row>
    <row r="276" spans="1:11" x14ac:dyDescent="0.35">
      <c r="A276" s="115"/>
      <c r="B276" s="255"/>
      <c r="C276" s="11"/>
      <c r="D276" s="11"/>
      <c r="E276" s="11"/>
      <c r="F276" s="4"/>
      <c r="G276" s="4"/>
      <c r="H276" s="4"/>
      <c r="I276" s="4"/>
      <c r="J276" s="4"/>
      <c r="K276" s="4"/>
    </row>
    <row r="277" spans="1:11" x14ac:dyDescent="0.35">
      <c r="A277" s="115"/>
      <c r="B277" s="255"/>
      <c r="C277" s="11"/>
      <c r="D277" s="11"/>
      <c r="E277" s="11"/>
      <c r="F277" s="4"/>
      <c r="G277" s="4"/>
      <c r="H277" s="4"/>
      <c r="I277" s="4"/>
      <c r="J277" s="4"/>
      <c r="K277" s="4"/>
    </row>
    <row r="278" spans="1:11" x14ac:dyDescent="0.35">
      <c r="A278" s="115"/>
      <c r="B278" s="255"/>
      <c r="C278" s="11"/>
      <c r="D278" s="11"/>
      <c r="E278" s="11"/>
      <c r="F278" s="4"/>
      <c r="G278" s="4"/>
      <c r="H278" s="4"/>
      <c r="I278" s="4"/>
      <c r="J278" s="4"/>
      <c r="K278" s="4"/>
    </row>
    <row r="279" spans="1:11" x14ac:dyDescent="0.35">
      <c r="A279" s="115"/>
      <c r="B279" s="255"/>
      <c r="C279" s="11"/>
      <c r="D279" s="11"/>
      <c r="E279" s="11"/>
      <c r="F279" s="4"/>
      <c r="G279" s="4"/>
      <c r="H279" s="4"/>
      <c r="I279" s="4"/>
      <c r="J279" s="4"/>
      <c r="K279" s="4"/>
    </row>
    <row r="280" spans="1:11" x14ac:dyDescent="0.35">
      <c r="A280" s="115"/>
      <c r="B280" s="255"/>
      <c r="C280" s="11"/>
      <c r="D280" s="11"/>
      <c r="E280" s="11"/>
      <c r="F280" s="4"/>
      <c r="G280" s="4"/>
      <c r="H280" s="4"/>
      <c r="I280" s="4"/>
      <c r="J280" s="4"/>
      <c r="K280" s="4"/>
    </row>
    <row r="281" spans="1:11" x14ac:dyDescent="0.35">
      <c r="A281" s="115"/>
      <c r="B281" s="255"/>
      <c r="C281" s="11"/>
      <c r="D281" s="11"/>
      <c r="E281" s="11"/>
      <c r="F281" s="4"/>
      <c r="G281" s="4"/>
      <c r="H281" s="4"/>
      <c r="I281" s="4"/>
      <c r="J281" s="4"/>
      <c r="K281" s="4"/>
    </row>
    <row r="282" spans="1:11" x14ac:dyDescent="0.35">
      <c r="A282" s="115"/>
      <c r="B282" s="255"/>
      <c r="C282" s="11"/>
      <c r="D282" s="11"/>
      <c r="E282" s="11"/>
      <c r="F282" s="4"/>
      <c r="G282" s="4"/>
      <c r="H282" s="4"/>
      <c r="I282" s="4"/>
      <c r="J282" s="4"/>
      <c r="K282" s="4"/>
    </row>
    <row r="283" spans="1:11" x14ac:dyDescent="0.35">
      <c r="A283" s="115"/>
      <c r="B283" s="255"/>
      <c r="C283" s="11"/>
      <c r="D283" s="11"/>
      <c r="E283" s="11"/>
      <c r="F283" s="4"/>
      <c r="G283" s="4"/>
      <c r="H283" s="4"/>
      <c r="I283" s="4"/>
      <c r="J283" s="4"/>
      <c r="K283" s="4"/>
    </row>
    <row r="284" spans="1:11" x14ac:dyDescent="0.35">
      <c r="A284" s="115"/>
      <c r="B284" s="255"/>
      <c r="C284" s="11"/>
      <c r="D284" s="11"/>
      <c r="E284" s="11"/>
      <c r="F284" s="4"/>
      <c r="G284" s="4"/>
      <c r="H284" s="4"/>
      <c r="I284" s="4"/>
      <c r="J284" s="4"/>
      <c r="K284" s="4"/>
    </row>
    <row r="285" spans="1:11" x14ac:dyDescent="0.35">
      <c r="A285" s="115"/>
      <c r="B285" s="255"/>
      <c r="C285" s="11"/>
      <c r="D285" s="11"/>
      <c r="E285" s="11"/>
      <c r="F285" s="4"/>
      <c r="G285" s="4"/>
      <c r="H285" s="4"/>
      <c r="I285" s="4"/>
      <c r="J285" s="4"/>
      <c r="K285" s="4"/>
    </row>
    <row r="286" spans="1:11" x14ac:dyDescent="0.35">
      <c r="A286" s="115"/>
      <c r="B286" s="255"/>
      <c r="C286" s="11"/>
      <c r="D286" s="11"/>
      <c r="E286" s="11"/>
      <c r="F286" s="4"/>
      <c r="G286" s="4"/>
      <c r="H286" s="4"/>
      <c r="I286" s="4"/>
      <c r="J286" s="4"/>
      <c r="K286" s="4"/>
    </row>
    <row r="287" spans="1:11" x14ac:dyDescent="0.35">
      <c r="A287" s="115"/>
      <c r="B287" s="255"/>
      <c r="C287" s="11"/>
      <c r="D287" s="11"/>
      <c r="E287" s="11"/>
      <c r="F287" s="4"/>
      <c r="G287" s="4"/>
      <c r="H287" s="4"/>
      <c r="I287" s="4"/>
      <c r="J287" s="4"/>
      <c r="K287" s="4"/>
    </row>
    <row r="288" spans="1:11" x14ac:dyDescent="0.35">
      <c r="A288" s="115"/>
      <c r="B288" s="255"/>
      <c r="C288" s="11"/>
      <c r="D288" s="11"/>
      <c r="E288" s="11"/>
      <c r="F288" s="4"/>
      <c r="G288" s="4"/>
      <c r="H288" s="4"/>
      <c r="I288" s="4"/>
      <c r="J288" s="4"/>
      <c r="K288" s="4"/>
    </row>
    <row r="289" spans="1:11" x14ac:dyDescent="0.35">
      <c r="A289" s="115"/>
      <c r="B289" s="255"/>
      <c r="C289" s="11"/>
      <c r="D289" s="11"/>
      <c r="E289" s="11"/>
      <c r="F289" s="4"/>
      <c r="G289" s="4"/>
      <c r="H289" s="4"/>
      <c r="I289" s="4"/>
      <c r="J289" s="4"/>
      <c r="K289" s="4"/>
    </row>
    <row r="290" spans="1:11" x14ac:dyDescent="0.35">
      <c r="A290" s="115"/>
      <c r="B290" s="255"/>
      <c r="C290" s="11"/>
      <c r="D290" s="11"/>
      <c r="E290" s="11"/>
      <c r="F290" s="4"/>
      <c r="G290" s="4"/>
      <c r="H290" s="4"/>
      <c r="I290" s="4"/>
      <c r="J290" s="4"/>
      <c r="K290" s="4"/>
    </row>
    <row r="291" spans="1:11" x14ac:dyDescent="0.35">
      <c r="A291" s="115"/>
      <c r="B291" s="255"/>
      <c r="C291" s="11"/>
      <c r="D291" s="11"/>
      <c r="E291" s="11"/>
      <c r="F291" s="4"/>
      <c r="G291" s="4"/>
      <c r="H291" s="4"/>
      <c r="I291" s="4"/>
      <c r="J291" s="4"/>
      <c r="K291" s="4"/>
    </row>
    <row r="292" spans="1:11" x14ac:dyDescent="0.35">
      <c r="A292" s="115"/>
      <c r="B292" s="255"/>
      <c r="C292" s="11"/>
      <c r="D292" s="11"/>
      <c r="E292" s="11"/>
      <c r="F292" s="4"/>
      <c r="G292" s="4"/>
      <c r="H292" s="4"/>
      <c r="I292" s="4"/>
      <c r="J292" s="4"/>
      <c r="K292" s="4"/>
    </row>
    <row r="293" spans="1:11" x14ac:dyDescent="0.35">
      <c r="A293" s="115"/>
      <c r="B293" s="255"/>
      <c r="C293" s="11"/>
      <c r="D293" s="11"/>
      <c r="E293" s="11"/>
      <c r="F293" s="4"/>
      <c r="G293" s="4"/>
      <c r="H293" s="4"/>
      <c r="I293" s="4"/>
      <c r="J293" s="4"/>
      <c r="K293" s="4"/>
    </row>
    <row r="294" spans="1:11" x14ac:dyDescent="0.35">
      <c r="A294" s="115"/>
      <c r="B294" s="255"/>
      <c r="C294" s="11"/>
      <c r="D294" s="11"/>
      <c r="E294" s="11"/>
      <c r="F294" s="4"/>
      <c r="G294" s="4"/>
      <c r="H294" s="4"/>
      <c r="I294" s="4"/>
      <c r="J294" s="4"/>
      <c r="K294" s="4"/>
    </row>
    <row r="295" spans="1:11" x14ac:dyDescent="0.35">
      <c r="A295" s="115"/>
      <c r="B295" s="255"/>
      <c r="C295" s="11"/>
      <c r="D295" s="11"/>
      <c r="E295" s="11"/>
      <c r="F295" s="4"/>
      <c r="G295" s="4"/>
      <c r="H295" s="4"/>
      <c r="I295" s="4"/>
      <c r="J295" s="4"/>
      <c r="K295" s="4"/>
    </row>
    <row r="296" spans="1:11" x14ac:dyDescent="0.35">
      <c r="A296" s="115"/>
      <c r="B296" s="255"/>
      <c r="C296" s="11"/>
      <c r="D296" s="11"/>
      <c r="E296" s="11"/>
      <c r="F296" s="4"/>
      <c r="G296" s="4"/>
      <c r="H296" s="4"/>
      <c r="I296" s="4"/>
      <c r="J296" s="4"/>
      <c r="K296" s="4"/>
    </row>
    <row r="297" spans="1:11" x14ac:dyDescent="0.35">
      <c r="A297" s="115"/>
      <c r="B297" s="255"/>
      <c r="C297" s="11"/>
      <c r="D297" s="11"/>
      <c r="E297" s="11"/>
      <c r="F297" s="4"/>
      <c r="G297" s="4"/>
      <c r="H297" s="4"/>
      <c r="I297" s="4"/>
      <c r="J297" s="4"/>
      <c r="K297" s="4"/>
    </row>
    <row r="298" spans="1:11" x14ac:dyDescent="0.35">
      <c r="A298" s="115"/>
      <c r="B298" s="255"/>
      <c r="C298" s="11"/>
      <c r="D298" s="11"/>
      <c r="E298" s="11"/>
      <c r="F298" s="4"/>
      <c r="G298" s="4"/>
      <c r="H298" s="4"/>
      <c r="I298" s="4"/>
      <c r="J298" s="4"/>
      <c r="K298" s="4"/>
    </row>
    <row r="299" spans="1:11" x14ac:dyDescent="0.35">
      <c r="A299" s="115"/>
      <c r="B299" s="255"/>
      <c r="C299" s="11"/>
      <c r="D299" s="11"/>
      <c r="E299" s="11"/>
      <c r="F299" s="4"/>
      <c r="G299" s="4"/>
      <c r="H299" s="4"/>
      <c r="I299" s="4"/>
      <c r="J299" s="4"/>
      <c r="K299" s="4"/>
    </row>
    <row r="300" spans="1:11" x14ac:dyDescent="0.35">
      <c r="A300" s="115"/>
      <c r="B300" s="255"/>
      <c r="C300" s="11"/>
      <c r="D300" s="11"/>
      <c r="E300" s="11"/>
      <c r="F300" s="4"/>
      <c r="G300" s="4"/>
      <c r="H300" s="4"/>
      <c r="I300" s="4"/>
      <c r="J300" s="4"/>
      <c r="K300" s="4"/>
    </row>
    <row r="301" spans="1:11" x14ac:dyDescent="0.35">
      <c r="A301" s="115"/>
      <c r="B301" s="255"/>
      <c r="C301" s="11"/>
      <c r="D301" s="11"/>
      <c r="E301" s="11"/>
      <c r="F301" s="4"/>
      <c r="G301" s="4"/>
      <c r="H301" s="4"/>
      <c r="I301" s="4"/>
      <c r="J301" s="4"/>
      <c r="K301" s="4"/>
    </row>
    <row r="302" spans="1:11" x14ac:dyDescent="0.35">
      <c r="A302" s="115"/>
      <c r="B302" s="255"/>
      <c r="C302" s="11"/>
      <c r="D302" s="11"/>
      <c r="E302" s="11"/>
      <c r="F302" s="4"/>
      <c r="G302" s="4"/>
      <c r="H302" s="4"/>
      <c r="I302" s="4"/>
      <c r="J302" s="4"/>
      <c r="K302" s="4"/>
    </row>
    <row r="303" spans="1:11" x14ac:dyDescent="0.35">
      <c r="A303" s="115"/>
      <c r="B303" s="255"/>
      <c r="C303" s="11"/>
      <c r="D303" s="11"/>
      <c r="E303" s="11"/>
      <c r="F303" s="4"/>
      <c r="G303" s="4"/>
      <c r="H303" s="4"/>
      <c r="I303" s="4"/>
      <c r="J303" s="4"/>
      <c r="K303" s="4"/>
    </row>
    <row r="304" spans="1:11" x14ac:dyDescent="0.35">
      <c r="A304" s="115"/>
      <c r="B304" s="255"/>
      <c r="C304" s="11"/>
      <c r="D304" s="11"/>
      <c r="E304" s="11"/>
      <c r="F304" s="4"/>
      <c r="G304" s="4"/>
      <c r="H304" s="4"/>
      <c r="I304" s="4"/>
      <c r="J304" s="4"/>
      <c r="K304" s="4"/>
    </row>
    <row r="305" spans="1:11" x14ac:dyDescent="0.35">
      <c r="A305" s="115"/>
      <c r="B305" s="255"/>
      <c r="C305" s="11"/>
      <c r="D305" s="11"/>
      <c r="E305" s="11"/>
      <c r="F305" s="4"/>
      <c r="G305" s="4"/>
      <c r="H305" s="4"/>
      <c r="I305" s="4"/>
      <c r="J305" s="4"/>
      <c r="K305" s="4"/>
    </row>
    <row r="306" spans="1:11" x14ac:dyDescent="0.35">
      <c r="A306" s="115"/>
      <c r="B306" s="255"/>
      <c r="C306" s="11"/>
      <c r="D306" s="11"/>
      <c r="E306" s="11"/>
      <c r="F306" s="4"/>
      <c r="G306" s="4"/>
      <c r="H306" s="4"/>
      <c r="I306" s="4"/>
      <c r="J306" s="4"/>
      <c r="K306" s="4"/>
    </row>
    <row r="307" spans="1:11" x14ac:dyDescent="0.35">
      <c r="A307" s="115"/>
      <c r="B307" s="255"/>
      <c r="C307" s="11"/>
      <c r="D307" s="11"/>
      <c r="E307" s="11"/>
      <c r="F307" s="4"/>
      <c r="G307" s="4"/>
      <c r="H307" s="4"/>
      <c r="I307" s="4"/>
      <c r="J307" s="4"/>
      <c r="K307" s="4"/>
    </row>
    <row r="308" spans="1:11" x14ac:dyDescent="0.35">
      <c r="A308" s="115"/>
      <c r="B308" s="255"/>
      <c r="C308" s="11"/>
      <c r="D308" s="11"/>
      <c r="E308" s="11"/>
      <c r="F308" s="4"/>
      <c r="G308" s="4"/>
      <c r="H308" s="4"/>
      <c r="I308" s="4"/>
      <c r="J308" s="4"/>
      <c r="K308" s="4"/>
    </row>
    <row r="309" spans="1:11" x14ac:dyDescent="0.35">
      <c r="A309" s="115"/>
      <c r="B309" s="255"/>
      <c r="C309" s="11"/>
      <c r="D309" s="11"/>
      <c r="E309" s="11"/>
      <c r="F309" s="4"/>
      <c r="G309" s="4"/>
      <c r="H309" s="4"/>
      <c r="I309" s="4"/>
      <c r="J309" s="4"/>
      <c r="K309" s="4"/>
    </row>
    <row r="310" spans="1:11" x14ac:dyDescent="0.35">
      <c r="A310" s="115"/>
      <c r="B310" s="255"/>
      <c r="C310" s="11"/>
      <c r="D310" s="11"/>
      <c r="E310" s="11"/>
      <c r="F310" s="4"/>
      <c r="G310" s="4"/>
      <c r="H310" s="4"/>
      <c r="I310" s="4"/>
      <c r="J310" s="4"/>
      <c r="K310" s="4"/>
    </row>
    <row r="311" spans="1:11" x14ac:dyDescent="0.35">
      <c r="A311" s="115"/>
      <c r="B311" s="255"/>
      <c r="C311" s="11"/>
      <c r="D311" s="11"/>
      <c r="E311" s="11"/>
      <c r="F311" s="4"/>
      <c r="G311" s="4"/>
      <c r="H311" s="4"/>
      <c r="I311" s="4"/>
      <c r="J311" s="4"/>
      <c r="K311" s="4"/>
    </row>
    <row r="312" spans="1:11" x14ac:dyDescent="0.35">
      <c r="A312" s="115"/>
      <c r="B312" s="255"/>
      <c r="C312" s="11"/>
      <c r="D312" s="11"/>
      <c r="E312" s="11"/>
      <c r="F312" s="4"/>
      <c r="G312" s="4"/>
      <c r="H312" s="4"/>
      <c r="I312" s="4"/>
      <c r="J312" s="4"/>
      <c r="K312" s="4"/>
    </row>
    <row r="313" spans="1:11" x14ac:dyDescent="0.35">
      <c r="A313" s="115"/>
      <c r="B313" s="255"/>
      <c r="C313" s="11"/>
      <c r="D313" s="11"/>
      <c r="E313" s="11"/>
      <c r="F313" s="4"/>
      <c r="G313" s="4"/>
      <c r="H313" s="4"/>
      <c r="I313" s="4"/>
      <c r="J313" s="4"/>
      <c r="K313" s="4"/>
    </row>
    <row r="314" spans="1:11" x14ac:dyDescent="0.35">
      <c r="A314" s="115"/>
      <c r="B314" s="255"/>
      <c r="C314" s="11"/>
      <c r="D314" s="11"/>
      <c r="E314" s="11"/>
      <c r="F314" s="4"/>
      <c r="G314" s="4"/>
      <c r="H314" s="4"/>
      <c r="I314" s="4"/>
      <c r="J314" s="4"/>
      <c r="K314" s="4"/>
    </row>
    <row r="315" spans="1:11" x14ac:dyDescent="0.35">
      <c r="A315" s="115"/>
      <c r="B315" s="255"/>
      <c r="C315" s="11"/>
      <c r="D315" s="11"/>
      <c r="E315" s="11"/>
      <c r="F315" s="4"/>
      <c r="G315" s="4"/>
      <c r="H315" s="4"/>
      <c r="I315" s="4"/>
      <c r="J315" s="4"/>
      <c r="K315" s="4"/>
    </row>
    <row r="316" spans="1:11" x14ac:dyDescent="0.35">
      <c r="A316" s="115"/>
      <c r="B316" s="255"/>
      <c r="C316" s="11"/>
      <c r="D316" s="11"/>
      <c r="E316" s="11"/>
      <c r="F316" s="4"/>
      <c r="G316" s="4"/>
      <c r="H316" s="4"/>
      <c r="I316" s="4"/>
      <c r="J316" s="4"/>
      <c r="K316" s="4"/>
    </row>
    <row r="317" spans="1:11" x14ac:dyDescent="0.35">
      <c r="A317" s="115"/>
      <c r="B317" s="255"/>
      <c r="C317" s="11"/>
      <c r="D317" s="11"/>
      <c r="E317" s="11"/>
      <c r="F317" s="4"/>
      <c r="G317" s="4"/>
      <c r="H317" s="4"/>
      <c r="I317" s="4"/>
      <c r="J317" s="4"/>
      <c r="K317" s="4"/>
    </row>
    <row r="318" spans="1:11" x14ac:dyDescent="0.35">
      <c r="A318" s="115"/>
      <c r="B318" s="255"/>
      <c r="C318" s="11"/>
      <c r="D318" s="11"/>
      <c r="E318" s="11"/>
      <c r="F318" s="4"/>
      <c r="G318" s="4"/>
      <c r="H318" s="4"/>
      <c r="I318" s="4"/>
      <c r="J318" s="4"/>
      <c r="K318" s="4"/>
    </row>
    <row r="319" spans="1:11" x14ac:dyDescent="0.35">
      <c r="A319" s="115"/>
      <c r="B319" s="255"/>
      <c r="C319" s="11"/>
      <c r="D319" s="11"/>
      <c r="E319" s="11"/>
      <c r="F319" s="4"/>
      <c r="G319" s="4"/>
      <c r="H319" s="4"/>
      <c r="I319" s="4"/>
      <c r="J319" s="4"/>
      <c r="K319" s="4"/>
    </row>
    <row r="320" spans="1:11" x14ac:dyDescent="0.35">
      <c r="A320" s="115"/>
      <c r="B320" s="255"/>
      <c r="C320" s="11"/>
      <c r="D320" s="11"/>
      <c r="E320" s="11"/>
      <c r="F320" s="4"/>
      <c r="G320" s="4"/>
      <c r="H320" s="4"/>
      <c r="I320" s="4"/>
      <c r="J320" s="4"/>
      <c r="K320" s="4"/>
    </row>
    <row r="321" spans="1:11" x14ac:dyDescent="0.35">
      <c r="A321" s="115"/>
      <c r="B321" s="255"/>
      <c r="C321" s="11"/>
      <c r="D321" s="11"/>
      <c r="E321" s="11"/>
      <c r="F321" s="4"/>
      <c r="G321" s="4"/>
      <c r="H321" s="4"/>
      <c r="I321" s="4"/>
      <c r="J321" s="4"/>
      <c r="K321" s="4"/>
    </row>
    <row r="322" spans="1:11" x14ac:dyDescent="0.35">
      <c r="A322" s="115"/>
      <c r="B322" s="255"/>
      <c r="C322" s="11"/>
      <c r="D322" s="11"/>
      <c r="E322" s="11"/>
      <c r="F322" s="4"/>
      <c r="G322" s="4"/>
      <c r="H322" s="4"/>
      <c r="I322" s="4"/>
      <c r="J322" s="4"/>
      <c r="K322" s="4"/>
    </row>
    <row r="323" spans="1:11" x14ac:dyDescent="0.35">
      <c r="A323" s="115"/>
      <c r="B323" s="255"/>
      <c r="C323" s="11"/>
      <c r="D323" s="11"/>
      <c r="E323" s="11"/>
      <c r="F323" s="4"/>
      <c r="G323" s="4"/>
      <c r="H323" s="4"/>
      <c r="I323" s="4"/>
      <c r="J323" s="4"/>
      <c r="K323" s="4"/>
    </row>
    <row r="324" spans="1:11" x14ac:dyDescent="0.35">
      <c r="A324" s="115"/>
      <c r="B324" s="255"/>
      <c r="C324" s="11"/>
      <c r="D324" s="11"/>
      <c r="E324" s="11"/>
      <c r="F324" s="4"/>
      <c r="G324" s="4"/>
      <c r="H324" s="4"/>
      <c r="I324" s="4"/>
      <c r="J324" s="4"/>
      <c r="K324" s="4"/>
    </row>
    <row r="325" spans="1:11" x14ac:dyDescent="0.35">
      <c r="A325" s="115"/>
      <c r="B325" s="255"/>
      <c r="C325" s="11"/>
      <c r="D325" s="11"/>
      <c r="E325" s="11"/>
      <c r="F325" s="4"/>
      <c r="G325" s="4"/>
      <c r="H325" s="4"/>
      <c r="I325" s="4"/>
      <c r="J325" s="4"/>
      <c r="K325" s="4"/>
    </row>
    <row r="326" spans="1:11" x14ac:dyDescent="0.35">
      <c r="A326" s="115"/>
      <c r="B326" s="255"/>
      <c r="C326" s="11"/>
      <c r="D326" s="11"/>
      <c r="E326" s="11"/>
      <c r="F326" s="4"/>
      <c r="G326" s="4"/>
      <c r="H326" s="4"/>
      <c r="I326" s="4"/>
      <c r="J326" s="4"/>
      <c r="K326" s="4"/>
    </row>
    <row r="327" spans="1:11" x14ac:dyDescent="0.35">
      <c r="A327" s="115"/>
      <c r="B327" s="255"/>
      <c r="C327" s="11"/>
      <c r="D327" s="11"/>
      <c r="E327" s="11"/>
      <c r="F327" s="4"/>
      <c r="G327" s="4"/>
      <c r="H327" s="4"/>
      <c r="I327" s="4"/>
      <c r="J327" s="4"/>
      <c r="K327" s="4"/>
    </row>
    <row r="328" spans="1:11" x14ac:dyDescent="0.35">
      <c r="A328" s="115"/>
      <c r="B328" s="255"/>
      <c r="C328" s="11"/>
      <c r="D328" s="11"/>
      <c r="E328" s="11"/>
      <c r="F328" s="4"/>
      <c r="G328" s="4"/>
      <c r="H328" s="4"/>
      <c r="I328" s="4"/>
      <c r="J328" s="4"/>
      <c r="K328" s="4"/>
    </row>
    <row r="329" spans="1:11" x14ac:dyDescent="0.35">
      <c r="A329" s="115"/>
      <c r="B329" s="255"/>
      <c r="C329" s="11"/>
      <c r="D329" s="11"/>
      <c r="E329" s="11"/>
      <c r="F329" s="4"/>
      <c r="G329" s="4"/>
      <c r="H329" s="4"/>
      <c r="I329" s="4"/>
      <c r="J329" s="4"/>
      <c r="K329" s="4"/>
    </row>
    <row r="330" spans="1:11" x14ac:dyDescent="0.35">
      <c r="A330" s="115"/>
      <c r="B330" s="255"/>
      <c r="C330" s="11"/>
      <c r="D330" s="11"/>
      <c r="E330" s="11"/>
      <c r="F330" s="4"/>
      <c r="G330" s="4"/>
      <c r="H330" s="4"/>
      <c r="I330" s="4"/>
      <c r="J330" s="4"/>
      <c r="K330" s="4"/>
    </row>
    <row r="331" spans="1:11" x14ac:dyDescent="0.35">
      <c r="A331" s="115"/>
      <c r="B331" s="255"/>
      <c r="C331" s="11"/>
      <c r="D331" s="11"/>
      <c r="E331" s="11"/>
      <c r="F331" s="4"/>
      <c r="G331" s="4"/>
      <c r="H331" s="4"/>
      <c r="I331" s="4"/>
      <c r="J331" s="4"/>
      <c r="K331" s="4"/>
    </row>
    <row r="332" spans="1:11" x14ac:dyDescent="0.35">
      <c r="A332" s="115"/>
      <c r="B332" s="255"/>
      <c r="C332" s="11"/>
      <c r="D332" s="11"/>
      <c r="E332" s="11"/>
      <c r="F332" s="4"/>
      <c r="G332" s="4"/>
      <c r="H332" s="4"/>
      <c r="I332" s="4"/>
      <c r="J332" s="4"/>
      <c r="K332" s="4"/>
    </row>
    <row r="333" spans="1:11" x14ac:dyDescent="0.35">
      <c r="A333" s="115"/>
      <c r="B333" s="255"/>
      <c r="C333" s="11"/>
      <c r="D333" s="11"/>
      <c r="E333" s="11"/>
      <c r="F333" s="4"/>
      <c r="G333" s="4"/>
      <c r="H333" s="4"/>
      <c r="I333" s="4"/>
      <c r="J333" s="4"/>
      <c r="K333" s="4"/>
    </row>
    <row r="334" spans="1:11" x14ac:dyDescent="0.35">
      <c r="A334" s="115"/>
      <c r="B334" s="255"/>
      <c r="C334" s="11"/>
      <c r="D334" s="11"/>
      <c r="E334" s="11"/>
      <c r="F334" s="4"/>
      <c r="G334" s="4"/>
      <c r="H334" s="4"/>
      <c r="I334" s="4"/>
      <c r="J334" s="4"/>
      <c r="K334" s="4"/>
    </row>
    <row r="335" spans="1:11" x14ac:dyDescent="0.35">
      <c r="A335" s="115"/>
      <c r="B335" s="255"/>
      <c r="C335" s="11"/>
      <c r="D335" s="11"/>
      <c r="E335" s="11"/>
      <c r="F335" s="4"/>
      <c r="G335" s="4"/>
      <c r="H335" s="4"/>
      <c r="I335" s="4"/>
      <c r="J335" s="4"/>
      <c r="K335" s="4"/>
    </row>
    <row r="336" spans="1:11" x14ac:dyDescent="0.35">
      <c r="A336" s="115"/>
      <c r="B336" s="255"/>
      <c r="C336" s="11"/>
      <c r="D336" s="11"/>
      <c r="E336" s="11"/>
      <c r="F336" s="4"/>
      <c r="G336" s="4"/>
      <c r="H336" s="4"/>
      <c r="I336" s="4"/>
      <c r="J336" s="4"/>
      <c r="K336" s="4"/>
    </row>
    <row r="337" spans="1:11" x14ac:dyDescent="0.35">
      <c r="A337" s="115"/>
      <c r="B337" s="255"/>
      <c r="C337" s="11"/>
      <c r="D337" s="11"/>
      <c r="E337" s="11"/>
      <c r="F337" s="4"/>
      <c r="G337" s="4"/>
      <c r="H337" s="4"/>
      <c r="I337" s="4"/>
      <c r="J337" s="4"/>
      <c r="K337" s="4"/>
    </row>
    <row r="338" spans="1:11" x14ac:dyDescent="0.35">
      <c r="A338" s="115"/>
      <c r="B338" s="255"/>
      <c r="C338" s="11"/>
      <c r="D338" s="11"/>
      <c r="E338" s="11"/>
      <c r="F338" s="4"/>
      <c r="G338" s="4"/>
      <c r="H338" s="4"/>
      <c r="I338" s="4"/>
      <c r="J338" s="4"/>
      <c r="K338" s="4"/>
    </row>
    <row r="339" spans="1:11" x14ac:dyDescent="0.35">
      <c r="A339" s="115"/>
      <c r="B339" s="255"/>
      <c r="C339" s="11"/>
      <c r="D339" s="11"/>
      <c r="E339" s="11"/>
      <c r="F339" s="4"/>
      <c r="G339" s="4"/>
      <c r="H339" s="4"/>
      <c r="I339" s="4"/>
      <c r="J339" s="4"/>
      <c r="K339" s="4"/>
    </row>
    <row r="340" spans="1:11" x14ac:dyDescent="0.35">
      <c r="A340" s="115"/>
      <c r="B340" s="255"/>
      <c r="C340" s="11"/>
      <c r="D340" s="11"/>
      <c r="E340" s="11"/>
      <c r="F340" s="4"/>
      <c r="G340" s="4"/>
      <c r="H340" s="4"/>
      <c r="I340" s="4"/>
      <c r="J340" s="4"/>
      <c r="K340" s="4"/>
    </row>
    <row r="341" spans="1:11" x14ac:dyDescent="0.35">
      <c r="A341" s="115"/>
      <c r="B341" s="255"/>
      <c r="C341" s="11"/>
      <c r="D341" s="11"/>
      <c r="E341" s="11"/>
      <c r="F341" s="4"/>
      <c r="G341" s="4"/>
      <c r="H341" s="4"/>
      <c r="I341" s="4"/>
      <c r="J341" s="4"/>
      <c r="K341" s="4"/>
    </row>
    <row r="342" spans="1:11" x14ac:dyDescent="0.35">
      <c r="A342" s="115"/>
      <c r="B342" s="255"/>
      <c r="C342" s="11"/>
      <c r="D342" s="11"/>
      <c r="E342" s="11"/>
      <c r="F342" s="4"/>
      <c r="G342" s="4"/>
      <c r="H342" s="4"/>
      <c r="I342" s="4"/>
      <c r="J342" s="4"/>
      <c r="K342" s="4"/>
    </row>
    <row r="343" spans="1:11" x14ac:dyDescent="0.35">
      <c r="A343" s="115"/>
      <c r="B343" s="255"/>
      <c r="C343" s="11"/>
      <c r="D343" s="11"/>
      <c r="E343" s="11"/>
      <c r="F343" s="4"/>
      <c r="G343" s="4"/>
      <c r="H343" s="4"/>
      <c r="I343" s="4"/>
      <c r="J343" s="4"/>
      <c r="K343" s="4"/>
    </row>
    <row r="344" spans="1:11" x14ac:dyDescent="0.35">
      <c r="A344" s="115"/>
      <c r="B344" s="255"/>
      <c r="C344" s="11"/>
      <c r="D344" s="11"/>
      <c r="E344" s="11"/>
      <c r="F344" s="4"/>
      <c r="G344" s="4"/>
      <c r="H344" s="4"/>
      <c r="I344" s="4"/>
      <c r="J344" s="4"/>
      <c r="K344" s="4"/>
    </row>
    <row r="345" spans="1:11" x14ac:dyDescent="0.35">
      <c r="A345" s="115"/>
      <c r="B345" s="255"/>
      <c r="C345" s="11"/>
      <c r="D345" s="11"/>
      <c r="E345" s="11"/>
      <c r="F345" s="4"/>
      <c r="G345" s="4"/>
      <c r="H345" s="4"/>
      <c r="I345" s="4"/>
      <c r="J345" s="4"/>
      <c r="K345" s="4"/>
    </row>
    <row r="346" spans="1:11" x14ac:dyDescent="0.35">
      <c r="A346" s="115"/>
      <c r="B346" s="255"/>
      <c r="C346" s="11"/>
      <c r="D346" s="11"/>
      <c r="E346" s="11"/>
      <c r="F346" s="4"/>
      <c r="G346" s="4"/>
      <c r="H346" s="4"/>
      <c r="I346" s="4"/>
      <c r="J346" s="4"/>
      <c r="K346" s="4"/>
    </row>
    <row r="347" spans="1:11" x14ac:dyDescent="0.35">
      <c r="A347" s="115"/>
      <c r="B347" s="255"/>
      <c r="C347" s="11"/>
      <c r="D347" s="11"/>
      <c r="E347" s="11"/>
      <c r="F347" s="4"/>
      <c r="G347" s="4"/>
      <c r="H347" s="4"/>
      <c r="I347" s="4"/>
      <c r="J347" s="4"/>
      <c r="K347" s="4"/>
    </row>
    <row r="348" spans="1:11" x14ac:dyDescent="0.35">
      <c r="A348" s="115"/>
      <c r="B348" s="255"/>
      <c r="C348" s="11"/>
      <c r="D348" s="11"/>
      <c r="E348" s="11"/>
      <c r="F348" s="4"/>
      <c r="G348" s="4"/>
      <c r="H348" s="4"/>
      <c r="I348" s="4"/>
      <c r="J348" s="4"/>
      <c r="K348" s="4"/>
    </row>
    <row r="349" spans="1:11" x14ac:dyDescent="0.35">
      <c r="A349" s="115"/>
      <c r="B349" s="255"/>
      <c r="C349" s="11"/>
      <c r="D349" s="11"/>
      <c r="E349" s="11"/>
      <c r="F349" s="4"/>
      <c r="G349" s="4"/>
      <c r="H349" s="4"/>
      <c r="I349" s="4"/>
      <c r="J349" s="4"/>
      <c r="K349" s="4"/>
    </row>
    <row r="350" spans="1:11" x14ac:dyDescent="0.35">
      <c r="A350" s="115"/>
      <c r="B350" s="255"/>
      <c r="C350" s="11"/>
      <c r="D350" s="11"/>
      <c r="E350" s="11"/>
      <c r="F350" s="4"/>
      <c r="G350" s="4"/>
      <c r="H350" s="4"/>
      <c r="I350" s="4"/>
      <c r="J350" s="4"/>
      <c r="K350" s="4"/>
    </row>
    <row r="351" spans="1:11" x14ac:dyDescent="0.35">
      <c r="A351" s="115"/>
      <c r="B351" s="255"/>
      <c r="C351" s="11"/>
      <c r="D351" s="11"/>
      <c r="E351" s="11"/>
      <c r="F351" s="4"/>
      <c r="G351" s="4"/>
      <c r="H351" s="4"/>
      <c r="I351" s="4"/>
      <c r="J351" s="4"/>
      <c r="K351" s="4"/>
    </row>
    <row r="352" spans="1:11" x14ac:dyDescent="0.35">
      <c r="A352" s="115"/>
      <c r="B352" s="255"/>
      <c r="C352" s="11"/>
      <c r="D352" s="11"/>
      <c r="E352" s="11"/>
      <c r="F352" s="4"/>
      <c r="G352" s="4"/>
      <c r="H352" s="4"/>
      <c r="I352" s="4"/>
      <c r="J352" s="4"/>
      <c r="K352" s="4"/>
    </row>
    <row r="353" spans="1:11" x14ac:dyDescent="0.35">
      <c r="A353" s="115"/>
      <c r="B353" s="255"/>
      <c r="C353" s="11"/>
      <c r="D353" s="11"/>
      <c r="E353" s="11"/>
      <c r="F353" s="4"/>
      <c r="G353" s="4"/>
      <c r="H353" s="4"/>
      <c r="I353" s="4"/>
      <c r="J353" s="4"/>
      <c r="K353" s="4"/>
    </row>
    <row r="354" spans="1:11" x14ac:dyDescent="0.35">
      <c r="A354" s="115"/>
      <c r="B354" s="255"/>
      <c r="C354" s="11"/>
      <c r="D354" s="11"/>
      <c r="E354" s="11"/>
      <c r="F354" s="4"/>
      <c r="G354" s="4"/>
      <c r="H354" s="4"/>
      <c r="I354" s="4"/>
      <c r="J354" s="4"/>
      <c r="K354" s="4"/>
    </row>
    <row r="355" spans="1:11" x14ac:dyDescent="0.35">
      <c r="A355" s="115"/>
      <c r="B355" s="255"/>
      <c r="C355" s="11"/>
      <c r="D355" s="11"/>
      <c r="E355" s="11"/>
      <c r="F355" s="4"/>
      <c r="G355" s="4"/>
      <c r="H355" s="4"/>
      <c r="I355" s="4"/>
      <c r="J355" s="4"/>
      <c r="K355" s="4"/>
    </row>
    <row r="356" spans="1:11" x14ac:dyDescent="0.35">
      <c r="A356" s="115"/>
      <c r="B356" s="255"/>
      <c r="C356" s="11"/>
      <c r="D356" s="11"/>
      <c r="E356" s="11"/>
      <c r="F356" s="4"/>
      <c r="G356" s="4"/>
      <c r="H356" s="4"/>
      <c r="I356" s="4"/>
      <c r="J356" s="4"/>
      <c r="K356" s="4"/>
    </row>
    <row r="357" spans="1:11" x14ac:dyDescent="0.35">
      <c r="A357" s="115"/>
      <c r="B357" s="255"/>
      <c r="C357" s="11"/>
      <c r="D357" s="11"/>
      <c r="E357" s="11"/>
      <c r="F357" s="4"/>
      <c r="G357" s="4"/>
      <c r="H357" s="4"/>
      <c r="I357" s="4"/>
      <c r="J357" s="4"/>
      <c r="K357" s="4"/>
    </row>
    <row r="358" spans="1:11" x14ac:dyDescent="0.35">
      <c r="A358" s="115"/>
      <c r="B358" s="255"/>
      <c r="C358" s="11"/>
      <c r="D358" s="11"/>
      <c r="E358" s="11"/>
      <c r="F358" s="4"/>
      <c r="G358" s="4"/>
      <c r="H358" s="4"/>
      <c r="I358" s="4"/>
      <c r="J358" s="4"/>
      <c r="K358" s="4"/>
    </row>
    <row r="359" spans="1:11" x14ac:dyDescent="0.35">
      <c r="A359" s="115"/>
      <c r="B359" s="255"/>
      <c r="C359" s="11"/>
      <c r="D359" s="11"/>
      <c r="E359" s="11"/>
      <c r="F359" s="4"/>
      <c r="G359" s="4"/>
      <c r="H359" s="4"/>
      <c r="I359" s="4"/>
      <c r="J359" s="4"/>
      <c r="K359" s="4"/>
    </row>
    <row r="360" spans="1:11" x14ac:dyDescent="0.35">
      <c r="A360" s="115"/>
      <c r="B360" s="255"/>
      <c r="C360" s="11"/>
      <c r="D360" s="11"/>
      <c r="E360" s="11"/>
      <c r="F360" s="4"/>
      <c r="G360" s="4"/>
      <c r="H360" s="4"/>
      <c r="I360" s="4"/>
      <c r="J360" s="4"/>
      <c r="K360" s="4"/>
    </row>
    <row r="361" spans="1:11" x14ac:dyDescent="0.35">
      <c r="A361" s="115"/>
      <c r="B361" s="255"/>
      <c r="C361" s="11"/>
      <c r="D361" s="11"/>
      <c r="E361" s="11"/>
      <c r="F361" s="4"/>
      <c r="G361" s="4"/>
      <c r="H361" s="4"/>
      <c r="I361" s="4"/>
      <c r="J361" s="4"/>
      <c r="K361" s="4"/>
    </row>
    <row r="362" spans="1:11" x14ac:dyDescent="0.35">
      <c r="A362" s="115"/>
      <c r="B362" s="255"/>
      <c r="C362" s="11"/>
      <c r="D362" s="11"/>
      <c r="E362" s="11"/>
      <c r="F362" s="4"/>
      <c r="G362" s="4"/>
      <c r="H362" s="4"/>
      <c r="I362" s="4"/>
      <c r="J362" s="4"/>
      <c r="K362" s="4"/>
    </row>
    <row r="363" spans="1:11" x14ac:dyDescent="0.35">
      <c r="A363" s="115"/>
      <c r="B363" s="255"/>
      <c r="C363" s="11"/>
      <c r="D363" s="11"/>
      <c r="E363" s="11"/>
      <c r="F363" s="4"/>
      <c r="G363" s="4"/>
      <c r="H363" s="4"/>
      <c r="I363" s="4"/>
      <c r="J363" s="4"/>
      <c r="K363" s="4"/>
    </row>
    <row r="364" spans="1:11" x14ac:dyDescent="0.35">
      <c r="A364" s="115"/>
      <c r="B364" s="255"/>
      <c r="C364" s="11"/>
      <c r="D364" s="11"/>
      <c r="E364" s="11"/>
      <c r="F364" s="4"/>
      <c r="G364" s="4"/>
      <c r="H364" s="4"/>
      <c r="I364" s="4"/>
      <c r="J364" s="4"/>
      <c r="K364" s="4"/>
    </row>
    <row r="365" spans="1:11" x14ac:dyDescent="0.35">
      <c r="A365" s="115"/>
      <c r="B365" s="255"/>
      <c r="C365" s="11"/>
      <c r="D365" s="11"/>
      <c r="E365" s="11"/>
      <c r="F365" s="4"/>
      <c r="G365" s="4"/>
      <c r="H365" s="4"/>
      <c r="I365" s="4"/>
      <c r="J365" s="4"/>
      <c r="K365" s="4"/>
    </row>
    <row r="366" spans="1:11" x14ac:dyDescent="0.35">
      <c r="A366" s="115"/>
      <c r="B366" s="255"/>
      <c r="C366" s="11"/>
      <c r="D366" s="11"/>
      <c r="E366" s="11"/>
      <c r="F366" s="4"/>
      <c r="G366" s="4"/>
      <c r="H366" s="4"/>
      <c r="I366" s="4"/>
      <c r="J366" s="4"/>
      <c r="K366" s="4"/>
    </row>
    <row r="367" spans="1:11" x14ac:dyDescent="0.35">
      <c r="A367" s="115"/>
      <c r="B367" s="255"/>
      <c r="C367" s="11"/>
      <c r="D367" s="11"/>
      <c r="E367" s="11"/>
      <c r="F367" s="4"/>
      <c r="G367" s="4"/>
      <c r="H367" s="4"/>
      <c r="I367" s="4"/>
      <c r="J367" s="4"/>
      <c r="K367" s="4"/>
    </row>
    <row r="368" spans="1:11" x14ac:dyDescent="0.35">
      <c r="A368" s="115"/>
      <c r="B368" s="255"/>
      <c r="C368" s="11"/>
      <c r="D368" s="11"/>
      <c r="E368" s="11"/>
      <c r="F368" s="4"/>
      <c r="G368" s="4"/>
      <c r="H368" s="4"/>
      <c r="I368" s="4"/>
      <c r="J368" s="4"/>
      <c r="K368" s="4"/>
    </row>
    <row r="369" spans="1:11" x14ac:dyDescent="0.35">
      <c r="A369" s="115"/>
      <c r="B369" s="255"/>
      <c r="C369" s="11"/>
      <c r="D369" s="11"/>
      <c r="E369" s="11"/>
      <c r="F369" s="4"/>
      <c r="G369" s="4"/>
      <c r="H369" s="4"/>
      <c r="I369" s="4"/>
      <c r="J369" s="4"/>
      <c r="K369" s="4"/>
    </row>
    <row r="370" spans="1:11" x14ac:dyDescent="0.35">
      <c r="A370" s="115"/>
      <c r="B370" s="255"/>
      <c r="C370" s="11"/>
      <c r="D370" s="11"/>
      <c r="E370" s="11"/>
      <c r="F370" s="4"/>
      <c r="G370" s="4"/>
      <c r="H370" s="4"/>
      <c r="I370" s="4"/>
      <c r="J370" s="4"/>
      <c r="K370" s="4"/>
    </row>
    <row r="371" spans="1:11" x14ac:dyDescent="0.35">
      <c r="A371" s="115"/>
      <c r="B371" s="255"/>
      <c r="C371" s="11"/>
      <c r="D371" s="11"/>
      <c r="E371" s="11"/>
      <c r="F371" s="4"/>
      <c r="G371" s="4"/>
      <c r="H371" s="4"/>
      <c r="I371" s="4"/>
      <c r="J371" s="4"/>
      <c r="K371" s="4"/>
    </row>
    <row r="372" spans="1:11" x14ac:dyDescent="0.35">
      <c r="A372" s="115"/>
      <c r="B372" s="255"/>
      <c r="C372" s="11"/>
      <c r="D372" s="11"/>
      <c r="E372" s="11"/>
      <c r="F372" s="4"/>
      <c r="G372" s="4"/>
      <c r="H372" s="4"/>
      <c r="I372" s="4"/>
      <c r="J372" s="4"/>
      <c r="K372" s="4"/>
    </row>
    <row r="373" spans="1:11" x14ac:dyDescent="0.35">
      <c r="A373" s="115"/>
      <c r="B373" s="255"/>
      <c r="C373" s="11"/>
      <c r="D373" s="11"/>
      <c r="E373" s="11"/>
      <c r="F373" s="4"/>
      <c r="G373" s="4"/>
      <c r="H373" s="4"/>
      <c r="I373" s="4"/>
      <c r="J373" s="4"/>
      <c r="K373" s="4"/>
    </row>
    <row r="374" spans="1:11" x14ac:dyDescent="0.35">
      <c r="A374" s="115"/>
      <c r="B374" s="255"/>
      <c r="C374" s="11"/>
      <c r="D374" s="11"/>
      <c r="E374" s="11"/>
      <c r="F374" s="4"/>
      <c r="G374" s="4"/>
      <c r="H374" s="4"/>
      <c r="I374" s="4"/>
      <c r="J374" s="4"/>
      <c r="K374" s="4"/>
    </row>
    <row r="375" spans="1:11" x14ac:dyDescent="0.35">
      <c r="A375" s="115"/>
      <c r="B375" s="255"/>
      <c r="C375" s="11"/>
      <c r="D375" s="11"/>
      <c r="E375" s="11"/>
      <c r="F375" s="4"/>
      <c r="G375" s="4"/>
      <c r="H375" s="4"/>
      <c r="I375" s="4"/>
      <c r="J375" s="4"/>
      <c r="K375" s="4"/>
    </row>
    <row r="376" spans="1:11" x14ac:dyDescent="0.35">
      <c r="A376" s="115"/>
      <c r="B376" s="255"/>
      <c r="C376" s="11"/>
      <c r="D376" s="11"/>
      <c r="E376" s="11"/>
      <c r="F376" s="4"/>
      <c r="G376" s="4"/>
      <c r="H376" s="4"/>
      <c r="I376" s="4"/>
      <c r="J376" s="4"/>
      <c r="K376" s="4"/>
    </row>
    <row r="377" spans="1:11" x14ac:dyDescent="0.35">
      <c r="A377" s="115"/>
      <c r="B377" s="255"/>
      <c r="C377" s="11"/>
      <c r="D377" s="11"/>
      <c r="E377" s="11"/>
      <c r="F377" s="4"/>
      <c r="G377" s="4"/>
      <c r="H377" s="4"/>
      <c r="I377" s="4"/>
      <c r="J377" s="4"/>
      <c r="K377" s="4"/>
    </row>
    <row r="378" spans="1:11" x14ac:dyDescent="0.35">
      <c r="A378" s="115"/>
      <c r="B378" s="255"/>
      <c r="C378" s="11"/>
      <c r="D378" s="11"/>
      <c r="E378" s="11"/>
      <c r="F378" s="4"/>
      <c r="G378" s="4"/>
      <c r="H378" s="4"/>
      <c r="I378" s="4"/>
      <c r="J378" s="4"/>
      <c r="K378" s="4"/>
    </row>
    <row r="379" spans="1:11" x14ac:dyDescent="0.35">
      <c r="A379" s="115"/>
      <c r="B379" s="255"/>
      <c r="C379" s="11"/>
      <c r="D379" s="11"/>
      <c r="E379" s="11"/>
      <c r="F379" s="4"/>
      <c r="G379" s="4"/>
      <c r="H379" s="4"/>
      <c r="I379" s="4"/>
      <c r="J379" s="4"/>
      <c r="K379" s="4"/>
    </row>
    <row r="380" spans="1:11" x14ac:dyDescent="0.35">
      <c r="A380" s="115"/>
      <c r="B380" s="255"/>
      <c r="C380" s="11"/>
      <c r="D380" s="11"/>
      <c r="E380" s="11"/>
      <c r="F380" s="4"/>
      <c r="G380" s="4"/>
      <c r="H380" s="4"/>
      <c r="I380" s="4"/>
      <c r="J380" s="4"/>
      <c r="K380" s="4"/>
    </row>
    <row r="381" spans="1:11" x14ac:dyDescent="0.35">
      <c r="A381" s="115"/>
      <c r="B381" s="255"/>
      <c r="C381" s="11"/>
      <c r="D381" s="11"/>
      <c r="E381" s="11"/>
      <c r="F381" s="4"/>
      <c r="G381" s="4"/>
      <c r="H381" s="4"/>
      <c r="I381" s="4"/>
      <c r="J381" s="4"/>
      <c r="K381" s="4"/>
    </row>
    <row r="382" spans="1:11" x14ac:dyDescent="0.35">
      <c r="A382" s="115"/>
      <c r="B382" s="255"/>
      <c r="C382" s="11"/>
      <c r="D382" s="11"/>
      <c r="E382" s="11"/>
      <c r="F382" s="4"/>
      <c r="G382" s="4"/>
      <c r="H382" s="4"/>
      <c r="I382" s="4"/>
      <c r="J382" s="4"/>
      <c r="K382" s="4"/>
    </row>
    <row r="383" spans="1:11" x14ac:dyDescent="0.35">
      <c r="A383" s="115"/>
      <c r="B383" s="255"/>
      <c r="C383" s="11"/>
      <c r="D383" s="11"/>
      <c r="E383" s="11"/>
      <c r="F383" s="4"/>
      <c r="G383" s="4"/>
      <c r="H383" s="4"/>
      <c r="I383" s="4"/>
      <c r="J383" s="4"/>
      <c r="K383" s="4"/>
    </row>
    <row r="384" spans="1:11" x14ac:dyDescent="0.35">
      <c r="A384" s="115"/>
      <c r="B384" s="255"/>
      <c r="C384" s="11"/>
      <c r="D384" s="11"/>
      <c r="E384" s="11"/>
      <c r="F384" s="4"/>
      <c r="G384" s="4"/>
      <c r="H384" s="4"/>
      <c r="I384" s="4"/>
      <c r="J384" s="4"/>
      <c r="K384" s="4"/>
    </row>
    <row r="385" spans="1:11" x14ac:dyDescent="0.35">
      <c r="A385" s="115"/>
      <c r="B385" s="255"/>
      <c r="C385" s="11"/>
      <c r="D385" s="11"/>
      <c r="E385" s="11"/>
      <c r="F385" s="4"/>
      <c r="G385" s="4"/>
      <c r="H385" s="4"/>
      <c r="I385" s="4"/>
      <c r="J385" s="4"/>
      <c r="K385" s="4"/>
    </row>
    <row r="386" spans="1:11" x14ac:dyDescent="0.35">
      <c r="A386" s="115"/>
      <c r="B386" s="255"/>
      <c r="C386" s="11"/>
      <c r="D386" s="11"/>
      <c r="E386" s="11"/>
      <c r="F386" s="4"/>
      <c r="G386" s="4"/>
      <c r="H386" s="4"/>
      <c r="I386" s="4"/>
      <c r="J386" s="4"/>
      <c r="K386" s="4"/>
    </row>
    <row r="387" spans="1:11" x14ac:dyDescent="0.35">
      <c r="A387" s="115"/>
      <c r="B387" s="255"/>
      <c r="C387" s="11"/>
      <c r="D387" s="11"/>
      <c r="E387" s="11"/>
      <c r="F387" s="4"/>
      <c r="G387" s="4"/>
      <c r="H387" s="4"/>
      <c r="I387" s="4"/>
      <c r="J387" s="4"/>
      <c r="K387" s="4"/>
    </row>
    <row r="388" spans="1:11" x14ac:dyDescent="0.35">
      <c r="A388" s="115"/>
      <c r="B388" s="255"/>
      <c r="C388" s="11"/>
      <c r="D388" s="11"/>
      <c r="E388" s="11"/>
      <c r="F388" s="4"/>
      <c r="G388" s="4"/>
      <c r="H388" s="4"/>
      <c r="I388" s="4"/>
      <c r="J388" s="4"/>
      <c r="K388" s="4"/>
    </row>
    <row r="389" spans="1:11" x14ac:dyDescent="0.35">
      <c r="A389" s="115"/>
      <c r="B389" s="255"/>
      <c r="C389" s="11"/>
      <c r="D389" s="11"/>
      <c r="E389" s="11"/>
      <c r="F389" s="4"/>
      <c r="G389" s="4"/>
      <c r="H389" s="4"/>
      <c r="I389" s="4"/>
      <c r="J389" s="4"/>
      <c r="K389" s="4"/>
    </row>
    <row r="390" spans="1:11" x14ac:dyDescent="0.35">
      <c r="A390" s="115"/>
      <c r="B390" s="255"/>
      <c r="C390" s="11"/>
      <c r="D390" s="11"/>
      <c r="E390" s="11"/>
      <c r="F390" s="4"/>
      <c r="G390" s="4"/>
      <c r="H390" s="4"/>
      <c r="I390" s="4"/>
      <c r="J390" s="4"/>
      <c r="K390" s="4"/>
    </row>
    <row r="391" spans="1:11" x14ac:dyDescent="0.35">
      <c r="A391" s="115"/>
      <c r="B391" s="255"/>
      <c r="C391" s="11"/>
      <c r="D391" s="11"/>
      <c r="E391" s="11"/>
      <c r="F391" s="4"/>
      <c r="G391" s="4"/>
      <c r="H391" s="4"/>
      <c r="I391" s="4"/>
      <c r="J391" s="4"/>
      <c r="K391" s="4"/>
    </row>
    <row r="392" spans="1:11" x14ac:dyDescent="0.35">
      <c r="A392" s="115"/>
      <c r="B392" s="255"/>
      <c r="C392" s="11"/>
      <c r="D392" s="11"/>
      <c r="E392" s="11"/>
      <c r="F392" s="4"/>
      <c r="G392" s="4"/>
      <c r="H392" s="4"/>
      <c r="I392" s="4"/>
      <c r="J392" s="4"/>
      <c r="K392" s="4"/>
    </row>
    <row r="393" spans="1:11" x14ac:dyDescent="0.35">
      <c r="A393" s="115"/>
      <c r="B393" s="255"/>
      <c r="C393" s="11"/>
      <c r="D393" s="11"/>
      <c r="E393" s="11"/>
      <c r="F393" s="4"/>
      <c r="G393" s="4"/>
      <c r="H393" s="4"/>
      <c r="I393" s="4"/>
      <c r="J393" s="4"/>
      <c r="K393" s="4"/>
    </row>
    <row r="394" spans="1:11" x14ac:dyDescent="0.35">
      <c r="A394" s="115"/>
      <c r="B394" s="255"/>
      <c r="C394" s="11"/>
      <c r="D394" s="11"/>
      <c r="E394" s="11"/>
      <c r="F394" s="4"/>
      <c r="G394" s="4"/>
      <c r="H394" s="4"/>
      <c r="I394" s="4"/>
      <c r="J394" s="4"/>
      <c r="K394" s="4"/>
    </row>
    <row r="395" spans="1:11" x14ac:dyDescent="0.35">
      <c r="A395" s="115"/>
      <c r="B395" s="255"/>
      <c r="C395" s="11"/>
      <c r="D395" s="11"/>
      <c r="E395" s="11"/>
      <c r="F395" s="4"/>
      <c r="G395" s="4"/>
      <c r="H395" s="4"/>
      <c r="I395" s="4"/>
      <c r="J395" s="4"/>
      <c r="K395" s="4"/>
    </row>
    <row r="396" spans="1:11" x14ac:dyDescent="0.35">
      <c r="A396" s="115"/>
      <c r="B396" s="255"/>
      <c r="C396" s="11"/>
      <c r="D396" s="11"/>
      <c r="E396" s="11"/>
      <c r="F396" s="4"/>
      <c r="G396" s="4"/>
      <c r="H396" s="4"/>
      <c r="I396" s="4"/>
      <c r="J396" s="4"/>
      <c r="K396" s="4"/>
    </row>
    <row r="397" spans="1:11" x14ac:dyDescent="0.35">
      <c r="A397" s="115"/>
      <c r="B397" s="255"/>
      <c r="C397" s="11"/>
      <c r="D397" s="11"/>
      <c r="E397" s="11"/>
      <c r="F397" s="4"/>
      <c r="G397" s="4"/>
      <c r="H397" s="4"/>
      <c r="I397" s="4"/>
      <c r="J397" s="4"/>
      <c r="K397" s="4"/>
    </row>
    <row r="398" spans="1:11" x14ac:dyDescent="0.35">
      <c r="A398" s="115"/>
      <c r="B398" s="255"/>
      <c r="C398" s="11"/>
      <c r="D398" s="11"/>
      <c r="E398" s="11"/>
      <c r="F398" s="4"/>
      <c r="G398" s="4"/>
      <c r="H398" s="4"/>
      <c r="I398" s="4"/>
      <c r="J398" s="4"/>
      <c r="K398" s="4"/>
    </row>
    <row r="399" spans="1:11" x14ac:dyDescent="0.35">
      <c r="A399" s="115"/>
      <c r="B399" s="255"/>
      <c r="C399" s="11"/>
      <c r="D399" s="11"/>
      <c r="E399" s="11"/>
      <c r="F399" s="4"/>
      <c r="G399" s="4"/>
      <c r="H399" s="4"/>
      <c r="I399" s="4"/>
      <c r="J399" s="4"/>
      <c r="K399" s="4"/>
    </row>
    <row r="400" spans="1:11" x14ac:dyDescent="0.35">
      <c r="A400" s="115"/>
      <c r="B400" s="255"/>
      <c r="C400" s="11"/>
      <c r="D400" s="11"/>
      <c r="E400" s="11"/>
      <c r="F400" s="4"/>
      <c r="G400" s="4"/>
      <c r="H400" s="4"/>
      <c r="I400" s="4"/>
      <c r="J400" s="4"/>
      <c r="K400" s="4"/>
    </row>
    <row r="401" spans="1:11" x14ac:dyDescent="0.35">
      <c r="A401" s="115"/>
      <c r="B401" s="255"/>
      <c r="C401" s="11"/>
      <c r="D401" s="11"/>
      <c r="E401" s="11"/>
      <c r="F401" s="4"/>
      <c r="G401" s="4"/>
      <c r="H401" s="4"/>
      <c r="I401" s="4"/>
      <c r="J401" s="4"/>
      <c r="K401" s="4"/>
    </row>
    <row r="402" spans="1:11" x14ac:dyDescent="0.35">
      <c r="A402" s="115"/>
      <c r="B402" s="255"/>
      <c r="C402" s="11"/>
      <c r="D402" s="11"/>
      <c r="E402" s="11"/>
      <c r="F402" s="4"/>
      <c r="G402" s="4"/>
      <c r="H402" s="4"/>
      <c r="I402" s="4"/>
      <c r="J402" s="4"/>
      <c r="K402" s="4"/>
    </row>
    <row r="403" spans="1:11" x14ac:dyDescent="0.35">
      <c r="A403" s="115"/>
      <c r="B403" s="255"/>
      <c r="C403" s="11"/>
      <c r="D403" s="11"/>
      <c r="E403" s="11"/>
      <c r="F403" s="4"/>
      <c r="G403" s="4"/>
      <c r="H403" s="4"/>
      <c r="I403" s="4"/>
      <c r="J403" s="4"/>
      <c r="K403" s="4"/>
    </row>
    <row r="404" spans="1:11" x14ac:dyDescent="0.35">
      <c r="A404" s="115"/>
      <c r="B404" s="255"/>
      <c r="C404" s="11"/>
      <c r="D404" s="11"/>
      <c r="E404" s="11"/>
      <c r="F404" s="4"/>
      <c r="G404" s="4"/>
      <c r="H404" s="4"/>
      <c r="I404" s="4"/>
      <c r="J404" s="4"/>
      <c r="K404" s="4"/>
    </row>
  </sheetData>
  <autoFilter ref="A1:N138"/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opLeftCell="A82" workbookViewId="0">
      <selection activeCell="E102" sqref="E102"/>
    </sheetView>
  </sheetViews>
  <sheetFormatPr defaultColWidth="9.453125" defaultRowHeight="14.5" x14ac:dyDescent="0.35"/>
  <cols>
    <col min="1" max="1" width="12.1796875" customWidth="1"/>
    <col min="2" max="2" width="35.26953125" customWidth="1"/>
    <col min="3" max="3" width="11.54296875" customWidth="1"/>
    <col min="4" max="4" width="13.453125" bestFit="1" customWidth="1"/>
    <col min="5" max="5" width="9.1796875" bestFit="1" customWidth="1"/>
    <col min="6" max="6" width="19.26953125" bestFit="1" customWidth="1"/>
    <col min="7" max="7" width="11.1796875" bestFit="1" customWidth="1"/>
  </cols>
  <sheetData>
    <row r="1" spans="1:7" s="21" customFormat="1" ht="18.75" x14ac:dyDescent="0.3">
      <c r="A1" s="273" t="s">
        <v>1024</v>
      </c>
      <c r="B1" s="273" t="s">
        <v>1168</v>
      </c>
      <c r="C1" s="273" t="s">
        <v>817</v>
      </c>
      <c r="D1" s="273" t="s">
        <v>1170</v>
      </c>
      <c r="E1" s="273" t="s">
        <v>1036</v>
      </c>
      <c r="F1" s="273" t="s">
        <v>1171</v>
      </c>
      <c r="G1" s="273" t="s">
        <v>1167</v>
      </c>
    </row>
    <row r="2" spans="1:7" ht="15" x14ac:dyDescent="0.25">
      <c r="A2" t="s">
        <v>1271</v>
      </c>
      <c r="B2" t="s">
        <v>1272</v>
      </c>
      <c r="C2">
        <v>7350</v>
      </c>
      <c r="D2" t="s">
        <v>30</v>
      </c>
      <c r="E2" t="s">
        <v>439</v>
      </c>
      <c r="F2" t="s">
        <v>1273</v>
      </c>
    </row>
    <row r="3" spans="1:7" ht="15" x14ac:dyDescent="0.25">
      <c r="A3" s="274" t="s">
        <v>1351</v>
      </c>
      <c r="B3" t="s">
        <v>1200</v>
      </c>
      <c r="C3">
        <v>2100</v>
      </c>
      <c r="D3" t="s">
        <v>30</v>
      </c>
      <c r="E3" t="s">
        <v>439</v>
      </c>
      <c r="F3" t="s">
        <v>1201</v>
      </c>
    </row>
    <row r="4" spans="1:7" ht="15" x14ac:dyDescent="0.25">
      <c r="A4" s="274" t="s">
        <v>1351</v>
      </c>
      <c r="B4" t="s">
        <v>1186</v>
      </c>
      <c r="C4">
        <v>2000</v>
      </c>
      <c r="D4" t="s">
        <v>30</v>
      </c>
      <c r="E4" t="s">
        <v>47</v>
      </c>
      <c r="F4" t="s">
        <v>1187</v>
      </c>
    </row>
    <row r="5" spans="1:7" ht="15" x14ac:dyDescent="0.25">
      <c r="A5" s="274" t="s">
        <v>1352</v>
      </c>
      <c r="B5" t="s">
        <v>1188</v>
      </c>
      <c r="C5">
        <v>2000</v>
      </c>
      <c r="D5" t="s">
        <v>30</v>
      </c>
      <c r="E5" t="s">
        <v>439</v>
      </c>
      <c r="F5" t="s">
        <v>1189</v>
      </c>
    </row>
    <row r="6" spans="1:7" ht="15" x14ac:dyDescent="0.25">
      <c r="A6" s="274" t="s">
        <v>1352</v>
      </c>
      <c r="B6" t="s">
        <v>1217</v>
      </c>
      <c r="C6">
        <v>1800</v>
      </c>
      <c r="D6" t="s">
        <v>30</v>
      </c>
      <c r="E6" t="s">
        <v>439</v>
      </c>
      <c r="F6" t="s">
        <v>1218</v>
      </c>
    </row>
    <row r="7" spans="1:7" ht="15" x14ac:dyDescent="0.25">
      <c r="A7" t="s">
        <v>1180</v>
      </c>
      <c r="B7" t="s">
        <v>1181</v>
      </c>
      <c r="C7">
        <v>1500</v>
      </c>
      <c r="D7" t="s">
        <v>30</v>
      </c>
      <c r="E7" t="s">
        <v>439</v>
      </c>
      <c r="F7" t="s">
        <v>1182</v>
      </c>
    </row>
    <row r="8" spans="1:7" ht="15" x14ac:dyDescent="0.25">
      <c r="A8" t="s">
        <v>1183</v>
      </c>
      <c r="B8" t="s">
        <v>1185</v>
      </c>
      <c r="C8">
        <v>4500</v>
      </c>
      <c r="D8" t="s">
        <v>30</v>
      </c>
      <c r="E8" t="s">
        <v>439</v>
      </c>
      <c r="F8" t="s">
        <v>1184</v>
      </c>
    </row>
    <row r="9" spans="1:7" ht="15" x14ac:dyDescent="0.25">
      <c r="A9" t="s">
        <v>1216</v>
      </c>
      <c r="B9" t="s">
        <v>1215</v>
      </c>
      <c r="C9">
        <v>6000</v>
      </c>
      <c r="D9" t="s">
        <v>30</v>
      </c>
      <c r="E9" t="s">
        <v>47</v>
      </c>
      <c r="F9" t="s">
        <v>1198</v>
      </c>
    </row>
    <row r="10" spans="1:7" ht="15" x14ac:dyDescent="0.25">
      <c r="A10" t="s">
        <v>1190</v>
      </c>
      <c r="B10" t="s">
        <v>1191</v>
      </c>
      <c r="C10">
        <v>1800</v>
      </c>
      <c r="D10" t="s">
        <v>30</v>
      </c>
      <c r="E10" t="s">
        <v>47</v>
      </c>
      <c r="F10" t="s">
        <v>1192</v>
      </c>
    </row>
    <row r="11" spans="1:7" ht="15" x14ac:dyDescent="0.25">
      <c r="A11" t="s">
        <v>1193</v>
      </c>
      <c r="B11" t="s">
        <v>1194</v>
      </c>
      <c r="C11">
        <v>20700</v>
      </c>
      <c r="D11" t="s">
        <v>30</v>
      </c>
      <c r="E11" t="s">
        <v>47</v>
      </c>
      <c r="F11" t="s">
        <v>1195</v>
      </c>
    </row>
    <row r="12" spans="1:7" ht="15" x14ac:dyDescent="0.25">
      <c r="A12" t="s">
        <v>1196</v>
      </c>
      <c r="B12" t="s">
        <v>1197</v>
      </c>
      <c r="C12">
        <v>1600</v>
      </c>
      <c r="D12" t="s">
        <v>30</v>
      </c>
      <c r="E12" t="s">
        <v>47</v>
      </c>
      <c r="F12" t="s">
        <v>1198</v>
      </c>
    </row>
    <row r="13" spans="1:7" ht="15" x14ac:dyDescent="0.25">
      <c r="A13" t="s">
        <v>1196</v>
      </c>
      <c r="B13" t="s">
        <v>406</v>
      </c>
      <c r="C13">
        <v>9600</v>
      </c>
      <c r="D13" t="s">
        <v>30</v>
      </c>
      <c r="E13" t="s">
        <v>47</v>
      </c>
      <c r="F13" t="s">
        <v>1199</v>
      </c>
    </row>
    <row r="14" spans="1:7" ht="15" x14ac:dyDescent="0.25">
      <c r="A14" t="s">
        <v>1219</v>
      </c>
      <c r="B14" t="s">
        <v>1202</v>
      </c>
      <c r="C14">
        <v>2500</v>
      </c>
      <c r="D14" t="s">
        <v>30</v>
      </c>
      <c r="E14" t="s">
        <v>798</v>
      </c>
      <c r="F14" t="s">
        <v>1198</v>
      </c>
    </row>
    <row r="15" spans="1:7" ht="15" x14ac:dyDescent="0.25">
      <c r="A15" t="s">
        <v>1220</v>
      </c>
      <c r="B15" t="s">
        <v>1221</v>
      </c>
      <c r="C15">
        <v>1750</v>
      </c>
      <c r="D15" t="s">
        <v>30</v>
      </c>
      <c r="E15" t="s">
        <v>798</v>
      </c>
      <c r="F15" t="s">
        <v>1223</v>
      </c>
    </row>
    <row r="16" spans="1:7" ht="15" x14ac:dyDescent="0.25">
      <c r="A16" t="s">
        <v>1203</v>
      </c>
      <c r="B16" t="s">
        <v>1225</v>
      </c>
      <c r="C16">
        <v>3400</v>
      </c>
      <c r="D16" t="s">
        <v>30</v>
      </c>
      <c r="E16" t="s">
        <v>798</v>
      </c>
      <c r="F16" t="s">
        <v>1225</v>
      </c>
    </row>
    <row r="17" spans="1:6" ht="15" x14ac:dyDescent="0.25">
      <c r="A17" t="s">
        <v>1203</v>
      </c>
      <c r="B17" t="s">
        <v>1204</v>
      </c>
      <c r="C17">
        <v>1800</v>
      </c>
      <c r="D17" t="s">
        <v>30</v>
      </c>
      <c r="E17" t="s">
        <v>47</v>
      </c>
      <c r="F17" t="s">
        <v>1198</v>
      </c>
    </row>
    <row r="18" spans="1:6" ht="15" x14ac:dyDescent="0.25">
      <c r="A18" t="s">
        <v>1203</v>
      </c>
      <c r="B18" t="s">
        <v>1205</v>
      </c>
      <c r="C18">
        <v>1600</v>
      </c>
      <c r="D18" t="s">
        <v>30</v>
      </c>
      <c r="E18" t="s">
        <v>798</v>
      </c>
      <c r="F18" t="s">
        <v>1206</v>
      </c>
    </row>
    <row r="19" spans="1:6" ht="14.25" customHeight="1" x14ac:dyDescent="0.25">
      <c r="A19" s="274" t="s">
        <v>1209</v>
      </c>
      <c r="B19" t="s">
        <v>518</v>
      </c>
      <c r="C19">
        <v>1700</v>
      </c>
      <c r="D19" t="s">
        <v>30</v>
      </c>
      <c r="E19" t="s">
        <v>439</v>
      </c>
      <c r="F19" t="s">
        <v>1222</v>
      </c>
    </row>
    <row r="20" spans="1:6" ht="14.25" customHeight="1" x14ac:dyDescent="0.25">
      <c r="A20" s="274" t="s">
        <v>1237</v>
      </c>
      <c r="B20" t="s">
        <v>1238</v>
      </c>
      <c r="C20">
        <v>4000</v>
      </c>
      <c r="D20" t="s">
        <v>30</v>
      </c>
      <c r="E20" t="s">
        <v>47</v>
      </c>
      <c r="F20" t="s">
        <v>1198</v>
      </c>
    </row>
    <row r="21" spans="1:6" ht="15" x14ac:dyDescent="0.25">
      <c r="A21" s="274" t="s">
        <v>1210</v>
      </c>
      <c r="B21" t="s">
        <v>1211</v>
      </c>
      <c r="C21">
        <v>9500</v>
      </c>
      <c r="D21" t="s">
        <v>30</v>
      </c>
      <c r="E21" t="s">
        <v>47</v>
      </c>
      <c r="F21" t="s">
        <v>1198</v>
      </c>
    </row>
    <row r="22" spans="1:6" ht="15" x14ac:dyDescent="0.25">
      <c r="A22" s="274" t="s">
        <v>1207</v>
      </c>
      <c r="B22" t="s">
        <v>1169</v>
      </c>
      <c r="C22">
        <v>2000</v>
      </c>
      <c r="D22" t="s">
        <v>30</v>
      </c>
      <c r="E22" t="s">
        <v>880</v>
      </c>
      <c r="F22" t="s">
        <v>1208</v>
      </c>
    </row>
    <row r="23" spans="1:6" ht="15" x14ac:dyDescent="0.25">
      <c r="A23" s="274" t="s">
        <v>1207</v>
      </c>
      <c r="B23" t="s">
        <v>1172</v>
      </c>
      <c r="C23">
        <v>1300</v>
      </c>
      <c r="D23" t="s">
        <v>30</v>
      </c>
      <c r="E23" t="s">
        <v>2</v>
      </c>
      <c r="F23" t="s">
        <v>1172</v>
      </c>
    </row>
    <row r="24" spans="1:6" ht="15" x14ac:dyDescent="0.25">
      <c r="A24" s="274" t="s">
        <v>1207</v>
      </c>
      <c r="B24" t="s">
        <v>1010</v>
      </c>
      <c r="C24">
        <v>2500</v>
      </c>
      <c r="D24" t="s">
        <v>30</v>
      </c>
      <c r="E24" t="s">
        <v>47</v>
      </c>
      <c r="F24" t="s">
        <v>1173</v>
      </c>
    </row>
    <row r="25" spans="1:6" ht="15" x14ac:dyDescent="0.25">
      <c r="A25" s="274" t="s">
        <v>1207</v>
      </c>
      <c r="B25" t="s">
        <v>1174</v>
      </c>
      <c r="C25">
        <v>2000</v>
      </c>
      <c r="D25" t="s">
        <v>30</v>
      </c>
      <c r="E25" t="s">
        <v>880</v>
      </c>
      <c r="F25" t="s">
        <v>1175</v>
      </c>
    </row>
    <row r="26" spans="1:6" ht="15" x14ac:dyDescent="0.25">
      <c r="A26" s="274" t="s">
        <v>1207</v>
      </c>
      <c r="B26" t="s">
        <v>1176</v>
      </c>
      <c r="C26">
        <v>3000</v>
      </c>
      <c r="D26" t="s">
        <v>30</v>
      </c>
      <c r="E26" t="s">
        <v>47</v>
      </c>
      <c r="F26" t="s">
        <v>1177</v>
      </c>
    </row>
    <row r="27" spans="1:6" ht="15" x14ac:dyDescent="0.25">
      <c r="A27" s="274" t="s">
        <v>1207</v>
      </c>
      <c r="B27" t="s">
        <v>1178</v>
      </c>
      <c r="C27">
        <v>3000</v>
      </c>
      <c r="D27" t="s">
        <v>30</v>
      </c>
      <c r="E27" t="s">
        <v>47</v>
      </c>
      <c r="F27" t="s">
        <v>1179</v>
      </c>
    </row>
    <row r="28" spans="1:6" ht="15" x14ac:dyDescent="0.25">
      <c r="A28" s="274" t="s">
        <v>1207</v>
      </c>
      <c r="B28" t="s">
        <v>1212</v>
      </c>
      <c r="C28">
        <v>2000</v>
      </c>
      <c r="D28" t="s">
        <v>30</v>
      </c>
      <c r="E28" t="s">
        <v>798</v>
      </c>
      <c r="F28" t="s">
        <v>1213</v>
      </c>
    </row>
    <row r="29" spans="1:6" ht="15" x14ac:dyDescent="0.25">
      <c r="A29" s="274" t="s">
        <v>1207</v>
      </c>
      <c r="B29" t="s">
        <v>1214</v>
      </c>
      <c r="C29">
        <v>1600</v>
      </c>
      <c r="D29" t="s">
        <v>22</v>
      </c>
      <c r="E29" t="s">
        <v>177</v>
      </c>
      <c r="F29" t="s">
        <v>1227</v>
      </c>
    </row>
    <row r="30" spans="1:6" ht="15" x14ac:dyDescent="0.25">
      <c r="A30" s="274" t="s">
        <v>1207</v>
      </c>
      <c r="B30" t="s">
        <v>1224</v>
      </c>
      <c r="C30">
        <v>4000</v>
      </c>
      <c r="D30" t="s">
        <v>22</v>
      </c>
      <c r="E30" t="s">
        <v>177</v>
      </c>
      <c r="F30" t="s">
        <v>1226</v>
      </c>
    </row>
    <row r="31" spans="1:6" ht="15" x14ac:dyDescent="0.25">
      <c r="A31" s="274" t="s">
        <v>1228</v>
      </c>
      <c r="B31" t="s">
        <v>1229</v>
      </c>
      <c r="C31">
        <v>4800</v>
      </c>
      <c r="D31" t="s">
        <v>30</v>
      </c>
      <c r="E31" t="s">
        <v>798</v>
      </c>
      <c r="F31" t="s">
        <v>1230</v>
      </c>
    </row>
    <row r="32" spans="1:6" ht="15" x14ac:dyDescent="0.25">
      <c r="A32" s="274" t="s">
        <v>1228</v>
      </c>
      <c r="B32" t="s">
        <v>1231</v>
      </c>
      <c r="C32">
        <v>5500</v>
      </c>
      <c r="D32" t="s">
        <v>30</v>
      </c>
      <c r="E32" t="s">
        <v>47</v>
      </c>
      <c r="F32" t="s">
        <v>1232</v>
      </c>
    </row>
    <row r="33" spans="1:6" ht="15" x14ac:dyDescent="0.25">
      <c r="A33" s="274" t="s">
        <v>1233</v>
      </c>
      <c r="B33" t="s">
        <v>1234</v>
      </c>
      <c r="C33">
        <v>18800</v>
      </c>
      <c r="D33" t="s">
        <v>1235</v>
      </c>
      <c r="E33" t="s">
        <v>1235</v>
      </c>
      <c r="F33" t="s">
        <v>1236</v>
      </c>
    </row>
    <row r="34" spans="1:6" ht="15" x14ac:dyDescent="0.25">
      <c r="A34" s="274" t="s">
        <v>1276</v>
      </c>
      <c r="B34" t="s">
        <v>1275</v>
      </c>
      <c r="C34">
        <v>2250</v>
      </c>
      <c r="D34" t="s">
        <v>30</v>
      </c>
      <c r="E34" t="s">
        <v>798</v>
      </c>
      <c r="F34" t="s">
        <v>1277</v>
      </c>
    </row>
    <row r="35" spans="1:6" ht="15" x14ac:dyDescent="0.25">
      <c r="A35" s="274" t="s">
        <v>1274</v>
      </c>
      <c r="B35" t="s">
        <v>349</v>
      </c>
      <c r="C35">
        <v>10000</v>
      </c>
      <c r="D35" t="s">
        <v>30</v>
      </c>
      <c r="E35" t="s">
        <v>47</v>
      </c>
      <c r="F35" t="s">
        <v>1198</v>
      </c>
    </row>
    <row r="36" spans="1:6" ht="15" x14ac:dyDescent="0.25">
      <c r="A36" s="274" t="s">
        <v>1279</v>
      </c>
      <c r="B36" t="s">
        <v>1281</v>
      </c>
      <c r="C36">
        <v>2200</v>
      </c>
      <c r="D36" t="s">
        <v>30</v>
      </c>
      <c r="E36" t="s">
        <v>798</v>
      </c>
      <c r="F36" t="s">
        <v>1280</v>
      </c>
    </row>
    <row r="37" spans="1:6" ht="15" x14ac:dyDescent="0.25">
      <c r="A37" s="274" t="s">
        <v>1339</v>
      </c>
      <c r="B37" t="s">
        <v>1340</v>
      </c>
      <c r="C37">
        <v>1900</v>
      </c>
      <c r="D37" t="s">
        <v>30</v>
      </c>
      <c r="E37" t="s">
        <v>439</v>
      </c>
      <c r="F37" t="s">
        <v>1346</v>
      </c>
    </row>
    <row r="38" spans="1:6" ht="15" x14ac:dyDescent="0.25">
      <c r="A38" s="274" t="s">
        <v>1341</v>
      </c>
      <c r="B38" t="s">
        <v>1389</v>
      </c>
      <c r="C38">
        <v>500</v>
      </c>
      <c r="D38" t="s">
        <v>30</v>
      </c>
      <c r="E38" t="s">
        <v>47</v>
      </c>
      <c r="F38" t="s">
        <v>1198</v>
      </c>
    </row>
    <row r="39" spans="1:6" ht="15" x14ac:dyDescent="0.25">
      <c r="A39" s="274" t="s">
        <v>1390</v>
      </c>
      <c r="B39" t="s">
        <v>1391</v>
      </c>
      <c r="C39">
        <v>4250</v>
      </c>
      <c r="D39" t="s">
        <v>30</v>
      </c>
      <c r="E39" t="s">
        <v>47</v>
      </c>
      <c r="F39" t="s">
        <v>1198</v>
      </c>
    </row>
    <row r="40" spans="1:6" ht="15" x14ac:dyDescent="0.25">
      <c r="A40" s="274" t="s">
        <v>1341</v>
      </c>
      <c r="B40" t="s">
        <v>1342</v>
      </c>
      <c r="C40">
        <v>2000</v>
      </c>
      <c r="D40" t="s">
        <v>30</v>
      </c>
      <c r="E40" t="s">
        <v>47</v>
      </c>
      <c r="F40" t="s">
        <v>1188</v>
      </c>
    </row>
    <row r="41" spans="1:6" ht="15" x14ac:dyDescent="0.25">
      <c r="A41" s="274" t="s">
        <v>1343</v>
      </c>
      <c r="B41" t="s">
        <v>1344</v>
      </c>
      <c r="C41">
        <v>1000</v>
      </c>
      <c r="D41" t="s">
        <v>30</v>
      </c>
      <c r="E41" t="s">
        <v>47</v>
      </c>
      <c r="F41" t="s">
        <v>1345</v>
      </c>
    </row>
    <row r="42" spans="1:6" ht="15" x14ac:dyDescent="0.25">
      <c r="A42" s="274" t="s">
        <v>1343</v>
      </c>
      <c r="B42" t="s">
        <v>24</v>
      </c>
      <c r="C42">
        <v>3000</v>
      </c>
      <c r="D42" t="s">
        <v>30</v>
      </c>
      <c r="E42" t="s">
        <v>47</v>
      </c>
      <c r="F42" t="s">
        <v>1198</v>
      </c>
    </row>
    <row r="43" spans="1:6" ht="15" x14ac:dyDescent="0.25">
      <c r="A43" s="274" t="s">
        <v>1343</v>
      </c>
      <c r="B43" t="s">
        <v>1389</v>
      </c>
      <c r="C43">
        <v>1750</v>
      </c>
      <c r="D43" t="s">
        <v>30</v>
      </c>
      <c r="E43" t="s">
        <v>47</v>
      </c>
      <c r="F43" t="s">
        <v>1198</v>
      </c>
    </row>
    <row r="44" spans="1:6" ht="15" x14ac:dyDescent="0.25">
      <c r="A44" s="274" t="s">
        <v>1343</v>
      </c>
      <c r="B44" t="s">
        <v>1488</v>
      </c>
      <c r="C44">
        <v>2500</v>
      </c>
      <c r="D44" t="s">
        <v>30</v>
      </c>
      <c r="E44" t="s">
        <v>47</v>
      </c>
    </row>
    <row r="45" spans="1:6" ht="15" x14ac:dyDescent="0.25">
      <c r="A45" s="274" t="s">
        <v>1392</v>
      </c>
      <c r="B45" t="s">
        <v>1217</v>
      </c>
      <c r="C45">
        <v>1800</v>
      </c>
      <c r="D45" t="s">
        <v>30</v>
      </c>
      <c r="E45" t="s">
        <v>439</v>
      </c>
      <c r="F45" t="s">
        <v>1218</v>
      </c>
    </row>
    <row r="46" spans="1:6" ht="15" x14ac:dyDescent="0.25">
      <c r="A46" s="274" t="s">
        <v>1393</v>
      </c>
      <c r="B46" t="s">
        <v>1185</v>
      </c>
      <c r="C46">
        <v>4500</v>
      </c>
      <c r="D46" t="s">
        <v>30</v>
      </c>
      <c r="E46" t="s">
        <v>439</v>
      </c>
      <c r="F46" t="s">
        <v>1394</v>
      </c>
    </row>
    <row r="47" spans="1:6" ht="15" x14ac:dyDescent="0.25">
      <c r="A47" s="274" t="s">
        <v>1393</v>
      </c>
      <c r="B47" t="s">
        <v>1201</v>
      </c>
      <c r="C47">
        <v>2000</v>
      </c>
      <c r="D47" t="s">
        <v>30</v>
      </c>
      <c r="E47" t="s">
        <v>439</v>
      </c>
      <c r="F47" t="s">
        <v>1201</v>
      </c>
    </row>
    <row r="48" spans="1:6" ht="15" x14ac:dyDescent="0.25">
      <c r="A48" s="274" t="s">
        <v>1486</v>
      </c>
      <c r="B48" t="s">
        <v>1487</v>
      </c>
      <c r="C48">
        <v>2000</v>
      </c>
      <c r="D48" t="s">
        <v>30</v>
      </c>
      <c r="E48" t="s">
        <v>439</v>
      </c>
    </row>
    <row r="49" spans="1:6" ht="15" x14ac:dyDescent="0.25">
      <c r="A49" s="274" t="s">
        <v>1395</v>
      </c>
      <c r="B49" t="s">
        <v>1396</v>
      </c>
      <c r="C49">
        <v>1800</v>
      </c>
      <c r="D49" t="s">
        <v>30</v>
      </c>
      <c r="E49" t="s">
        <v>47</v>
      </c>
      <c r="F49" t="s">
        <v>1198</v>
      </c>
    </row>
    <row r="50" spans="1:6" ht="15" x14ac:dyDescent="0.25">
      <c r="A50" s="274" t="s">
        <v>1395</v>
      </c>
      <c r="B50" t="s">
        <v>1489</v>
      </c>
      <c r="C50">
        <v>7000</v>
      </c>
      <c r="D50" t="s">
        <v>30</v>
      </c>
      <c r="E50" t="s">
        <v>1490</v>
      </c>
      <c r="F50" t="s">
        <v>1491</v>
      </c>
    </row>
    <row r="51" spans="1:6" ht="15" x14ac:dyDescent="0.25">
      <c r="A51" s="274" t="s">
        <v>1395</v>
      </c>
      <c r="B51" t="s">
        <v>1397</v>
      </c>
      <c r="C51">
        <v>1700</v>
      </c>
      <c r="D51" t="s">
        <v>30</v>
      </c>
      <c r="E51" t="s">
        <v>47</v>
      </c>
      <c r="F51" t="s">
        <v>1198</v>
      </c>
    </row>
    <row r="52" spans="1:6" ht="15" x14ac:dyDescent="0.25">
      <c r="A52" s="274" t="s">
        <v>1398</v>
      </c>
      <c r="B52" t="s">
        <v>1194</v>
      </c>
      <c r="C52">
        <v>20700</v>
      </c>
      <c r="D52" t="s">
        <v>30</v>
      </c>
      <c r="E52" t="s">
        <v>47</v>
      </c>
    </row>
    <row r="53" spans="1:6" ht="15" x14ac:dyDescent="0.25">
      <c r="A53" t="s">
        <v>1398</v>
      </c>
      <c r="B53" t="s">
        <v>1399</v>
      </c>
      <c r="C53">
        <v>2350</v>
      </c>
      <c r="D53" t="s">
        <v>30</v>
      </c>
      <c r="E53" t="s">
        <v>47</v>
      </c>
      <c r="F53" t="s">
        <v>1198</v>
      </c>
    </row>
    <row r="54" spans="1:6" ht="15" x14ac:dyDescent="0.25">
      <c r="A54" s="274" t="s">
        <v>1398</v>
      </c>
      <c r="B54" t="s">
        <v>1400</v>
      </c>
      <c r="C54">
        <v>3400</v>
      </c>
      <c r="D54" t="s">
        <v>30</v>
      </c>
      <c r="E54" t="s">
        <v>439</v>
      </c>
      <c r="F54" t="s">
        <v>1400</v>
      </c>
    </row>
    <row r="55" spans="1:6" ht="15" x14ac:dyDescent="0.25">
      <c r="A55" t="s">
        <v>1401</v>
      </c>
      <c r="B55" t="s">
        <v>1402</v>
      </c>
      <c r="C55">
        <v>1800</v>
      </c>
      <c r="D55" t="s">
        <v>30</v>
      </c>
      <c r="E55" t="s">
        <v>47</v>
      </c>
      <c r="F55" t="s">
        <v>1198</v>
      </c>
    </row>
    <row r="56" spans="1:6" ht="15" x14ac:dyDescent="0.25">
      <c r="A56" s="274" t="s">
        <v>1403</v>
      </c>
      <c r="B56" t="s">
        <v>1404</v>
      </c>
      <c r="C56">
        <v>6000</v>
      </c>
      <c r="D56" t="s">
        <v>30</v>
      </c>
      <c r="E56" t="s">
        <v>47</v>
      </c>
      <c r="F56" t="s">
        <v>1198</v>
      </c>
    </row>
    <row r="57" spans="1:6" ht="15" x14ac:dyDescent="0.25">
      <c r="A57" t="s">
        <v>1405</v>
      </c>
      <c r="B57" t="s">
        <v>1406</v>
      </c>
      <c r="C57">
        <v>4250</v>
      </c>
      <c r="D57" t="s">
        <v>30</v>
      </c>
      <c r="E57" t="s">
        <v>47</v>
      </c>
      <c r="F57" t="s">
        <v>1198</v>
      </c>
    </row>
    <row r="58" spans="1:6" ht="15" x14ac:dyDescent="0.25">
      <c r="A58" s="274" t="s">
        <v>1403</v>
      </c>
      <c r="B58" t="s">
        <v>1407</v>
      </c>
      <c r="C58">
        <v>1650</v>
      </c>
      <c r="D58" t="s">
        <v>30</v>
      </c>
      <c r="E58" t="s">
        <v>47</v>
      </c>
      <c r="F58" t="s">
        <v>1198</v>
      </c>
    </row>
    <row r="59" spans="1:6" ht="15" x14ac:dyDescent="0.25">
      <c r="A59" s="274" t="s">
        <v>1408</v>
      </c>
      <c r="B59" t="s">
        <v>1066</v>
      </c>
      <c r="C59">
        <v>4000</v>
      </c>
      <c r="D59" t="s">
        <v>30</v>
      </c>
      <c r="E59" t="s">
        <v>439</v>
      </c>
      <c r="F59" t="s">
        <v>1507</v>
      </c>
    </row>
    <row r="60" spans="1:6" ht="15" x14ac:dyDescent="0.25">
      <c r="A60" t="s">
        <v>1408</v>
      </c>
      <c r="B60" t="s">
        <v>1409</v>
      </c>
      <c r="C60">
        <v>1750</v>
      </c>
      <c r="D60" t="s">
        <v>30</v>
      </c>
      <c r="E60" t="s">
        <v>439</v>
      </c>
      <c r="F60" t="s">
        <v>1410</v>
      </c>
    </row>
    <row r="61" spans="1:6" ht="15" x14ac:dyDescent="0.25">
      <c r="A61" s="274" t="s">
        <v>1411</v>
      </c>
      <c r="B61" t="s">
        <v>1412</v>
      </c>
      <c r="C61">
        <v>11250</v>
      </c>
      <c r="D61" t="s">
        <v>30</v>
      </c>
      <c r="E61" t="s">
        <v>47</v>
      </c>
      <c r="F61" t="s">
        <v>1198</v>
      </c>
    </row>
    <row r="62" spans="1:6" ht="15" x14ac:dyDescent="0.25">
      <c r="A62" t="s">
        <v>1492</v>
      </c>
      <c r="B62" t="s">
        <v>1221</v>
      </c>
      <c r="C62">
        <v>1750</v>
      </c>
      <c r="D62" t="s">
        <v>30</v>
      </c>
      <c r="E62" t="s">
        <v>439</v>
      </c>
      <c r="F62" t="s">
        <v>1223</v>
      </c>
    </row>
    <row r="63" spans="1:6" ht="15" x14ac:dyDescent="0.25">
      <c r="A63" s="274"/>
    </row>
    <row r="64" spans="1:6" ht="15" x14ac:dyDescent="0.25">
      <c r="A64" s="274" t="s">
        <v>1492</v>
      </c>
      <c r="B64" t="s">
        <v>1493</v>
      </c>
      <c r="C64">
        <v>23350</v>
      </c>
      <c r="D64" t="s">
        <v>30</v>
      </c>
      <c r="E64" t="s">
        <v>439</v>
      </c>
      <c r="F64" t="s">
        <v>1509</v>
      </c>
    </row>
    <row r="65" spans="1:6" ht="15" x14ac:dyDescent="0.25">
      <c r="A65" s="274" t="s">
        <v>1522</v>
      </c>
      <c r="B65" t="s">
        <v>1508</v>
      </c>
      <c r="C65">
        <v>2500</v>
      </c>
      <c r="D65" t="s">
        <v>30</v>
      </c>
      <c r="E65" t="s">
        <v>439</v>
      </c>
      <c r="F65" t="s">
        <v>1198</v>
      </c>
    </row>
    <row r="66" spans="1:6" ht="15" x14ac:dyDescent="0.25">
      <c r="A66" t="s">
        <v>1494</v>
      </c>
      <c r="B66" t="s">
        <v>1495</v>
      </c>
      <c r="C66">
        <v>2500</v>
      </c>
      <c r="D66" t="s">
        <v>30</v>
      </c>
      <c r="E66" t="s">
        <v>439</v>
      </c>
    </row>
    <row r="67" spans="1:6" ht="15" x14ac:dyDescent="0.25">
      <c r="A67" s="274" t="s">
        <v>1494</v>
      </c>
      <c r="B67" t="s">
        <v>1496</v>
      </c>
      <c r="C67">
        <v>2000</v>
      </c>
      <c r="D67" t="s">
        <v>30</v>
      </c>
      <c r="E67" t="s">
        <v>439</v>
      </c>
      <c r="F67" t="s">
        <v>1510</v>
      </c>
    </row>
    <row r="68" spans="1:6" ht="15" x14ac:dyDescent="0.25">
      <c r="A68" s="274" t="s">
        <v>1494</v>
      </c>
      <c r="B68" t="s">
        <v>1511</v>
      </c>
      <c r="C68">
        <v>5500</v>
      </c>
      <c r="D68" t="s">
        <v>30</v>
      </c>
      <c r="E68" t="s">
        <v>47</v>
      </c>
      <c r="F68" t="s">
        <v>1512</v>
      </c>
    </row>
    <row r="69" spans="1:6" ht="15" x14ac:dyDescent="0.25">
      <c r="A69" t="s">
        <v>1497</v>
      </c>
      <c r="B69" t="s">
        <v>1515</v>
      </c>
      <c r="C69">
        <v>2000</v>
      </c>
      <c r="D69" t="s">
        <v>30</v>
      </c>
      <c r="E69" t="s">
        <v>439</v>
      </c>
      <c r="F69" t="s">
        <v>1516</v>
      </c>
    </row>
    <row r="70" spans="1:6" ht="15" x14ac:dyDescent="0.25">
      <c r="A70" s="274" t="s">
        <v>1513</v>
      </c>
      <c r="B70" t="s">
        <v>1514</v>
      </c>
      <c r="C70">
        <v>2500</v>
      </c>
      <c r="D70" t="s">
        <v>30</v>
      </c>
      <c r="E70" t="s">
        <v>47</v>
      </c>
      <c r="F70" t="s">
        <v>1514</v>
      </c>
    </row>
    <row r="71" spans="1:6" ht="15" x14ac:dyDescent="0.25">
      <c r="A71" s="274" t="s">
        <v>1497</v>
      </c>
      <c r="B71" t="s">
        <v>1498</v>
      </c>
      <c r="C71">
        <v>1800</v>
      </c>
      <c r="D71" t="s">
        <v>30</v>
      </c>
      <c r="E71" t="s">
        <v>439</v>
      </c>
    </row>
    <row r="72" spans="1:6" ht="15" x14ac:dyDescent="0.25">
      <c r="A72" t="s">
        <v>1499</v>
      </c>
      <c r="B72" t="s">
        <v>1205</v>
      </c>
      <c r="C72">
        <v>1600</v>
      </c>
      <c r="D72" t="s">
        <v>30</v>
      </c>
      <c r="E72" t="s">
        <v>47</v>
      </c>
      <c r="F72" t="s">
        <v>1206</v>
      </c>
    </row>
    <row r="73" spans="1:6" ht="15" x14ac:dyDescent="0.25">
      <c r="A73" s="274" t="s">
        <v>1500</v>
      </c>
      <c r="B73" t="s">
        <v>1204</v>
      </c>
      <c r="C73">
        <v>1800</v>
      </c>
      <c r="D73" t="s">
        <v>30</v>
      </c>
      <c r="E73" t="s">
        <v>47</v>
      </c>
      <c r="F73" t="s">
        <v>1198</v>
      </c>
    </row>
    <row r="74" spans="1:6" ht="15" x14ac:dyDescent="0.25">
      <c r="A74" s="274" t="s">
        <v>1501</v>
      </c>
      <c r="B74" t="s">
        <v>1504</v>
      </c>
      <c r="C74">
        <v>10000</v>
      </c>
      <c r="D74" t="s">
        <v>30</v>
      </c>
      <c r="E74" t="s">
        <v>439</v>
      </c>
      <c r="F74" t="s">
        <v>1504</v>
      </c>
    </row>
    <row r="75" spans="1:6" ht="15" x14ac:dyDescent="0.25">
      <c r="A75" t="s">
        <v>1501</v>
      </c>
      <c r="B75" t="s">
        <v>1502</v>
      </c>
      <c r="C75">
        <v>7000</v>
      </c>
      <c r="D75" t="s">
        <v>30</v>
      </c>
      <c r="E75" t="s">
        <v>47</v>
      </c>
      <c r="F75" t="s">
        <v>1198</v>
      </c>
    </row>
    <row r="76" spans="1:6" ht="15" x14ac:dyDescent="0.25">
      <c r="A76" s="274" t="s">
        <v>1517</v>
      </c>
      <c r="B76" t="s">
        <v>1518</v>
      </c>
      <c r="C76">
        <v>1800</v>
      </c>
      <c r="D76" t="s">
        <v>30</v>
      </c>
      <c r="E76" t="s">
        <v>47</v>
      </c>
      <c r="F76" t="s">
        <v>1198</v>
      </c>
    </row>
    <row r="77" spans="1:6" ht="15" x14ac:dyDescent="0.25">
      <c r="A77" s="274" t="s">
        <v>1519</v>
      </c>
      <c r="B77" t="s">
        <v>1520</v>
      </c>
      <c r="C77">
        <v>2300</v>
      </c>
      <c r="D77" t="s">
        <v>22</v>
      </c>
      <c r="E77" t="s">
        <v>1490</v>
      </c>
    </row>
    <row r="78" spans="1:6" ht="15" x14ac:dyDescent="0.25">
      <c r="A78" s="274" t="s">
        <v>1503</v>
      </c>
      <c r="B78" t="s">
        <v>301</v>
      </c>
      <c r="C78">
        <v>1700</v>
      </c>
      <c r="D78" t="s">
        <v>30</v>
      </c>
      <c r="E78" t="s">
        <v>439</v>
      </c>
    </row>
    <row r="79" spans="1:6" ht="15" x14ac:dyDescent="0.25">
      <c r="A79" s="274" t="s">
        <v>1503</v>
      </c>
      <c r="B79" t="s">
        <v>1505</v>
      </c>
      <c r="C79">
        <v>2500</v>
      </c>
      <c r="D79" t="s">
        <v>30</v>
      </c>
      <c r="E79" t="s">
        <v>47</v>
      </c>
    </row>
    <row r="80" spans="1:6" ht="15" x14ac:dyDescent="0.25">
      <c r="A80" s="274" t="s">
        <v>1503</v>
      </c>
      <c r="B80" t="s">
        <v>1506</v>
      </c>
      <c r="C80">
        <v>3500</v>
      </c>
      <c r="D80" t="s">
        <v>30</v>
      </c>
      <c r="E80" t="s">
        <v>47</v>
      </c>
      <c r="F80" t="s">
        <v>1534</v>
      </c>
    </row>
    <row r="81" spans="1:6" ht="15" x14ac:dyDescent="0.25">
      <c r="A81" s="274" t="s">
        <v>1503</v>
      </c>
      <c r="B81" t="s">
        <v>1212</v>
      </c>
      <c r="C81">
        <v>2000</v>
      </c>
      <c r="D81" t="s">
        <v>30</v>
      </c>
      <c r="E81" t="s">
        <v>439</v>
      </c>
      <c r="F81" t="s">
        <v>1521</v>
      </c>
    </row>
    <row r="82" spans="1:6" ht="15" x14ac:dyDescent="0.25">
      <c r="A82" s="274" t="s">
        <v>1538</v>
      </c>
      <c r="C82">
        <v>3500</v>
      </c>
      <c r="D82" t="s">
        <v>30</v>
      </c>
      <c r="E82" t="s">
        <v>47</v>
      </c>
      <c r="F82" t="s">
        <v>1535</v>
      </c>
    </row>
    <row r="83" spans="1:6" ht="15" x14ac:dyDescent="0.25">
      <c r="A83" s="274" t="s">
        <v>1533</v>
      </c>
      <c r="B83" t="s">
        <v>1536</v>
      </c>
      <c r="C83">
        <v>4500</v>
      </c>
      <c r="D83" t="s">
        <v>30</v>
      </c>
      <c r="E83" t="s">
        <v>47</v>
      </c>
      <c r="F83" t="s">
        <v>1198</v>
      </c>
    </row>
    <row r="84" spans="1:6" ht="15" x14ac:dyDescent="0.25">
      <c r="A84" s="274" t="s">
        <v>1533</v>
      </c>
      <c r="B84" t="s">
        <v>1537</v>
      </c>
      <c r="C84">
        <v>14500</v>
      </c>
      <c r="D84" t="s">
        <v>30</v>
      </c>
      <c r="E84" t="s">
        <v>47</v>
      </c>
      <c r="F84" t="s">
        <v>1198</v>
      </c>
    </row>
    <row r="85" spans="1:6" ht="15" x14ac:dyDescent="0.25">
      <c r="A85" s="274" t="s">
        <v>1539</v>
      </c>
      <c r="B85" t="s">
        <v>1540</v>
      </c>
      <c r="C85">
        <v>2200</v>
      </c>
      <c r="D85" t="s">
        <v>30</v>
      </c>
      <c r="E85" t="s">
        <v>439</v>
      </c>
      <c r="F85" t="s">
        <v>1280</v>
      </c>
    </row>
    <row r="86" spans="1:6" ht="15" x14ac:dyDescent="0.25">
      <c r="A86" s="274" t="s">
        <v>1539</v>
      </c>
      <c r="B86" t="s">
        <v>796</v>
      </c>
      <c r="C86">
        <v>1600</v>
      </c>
      <c r="D86" t="s">
        <v>30</v>
      </c>
      <c r="E86" t="s">
        <v>47</v>
      </c>
      <c r="F86" t="s">
        <v>1198</v>
      </c>
    </row>
    <row r="87" spans="1:6" ht="15" x14ac:dyDescent="0.25">
      <c r="A87" s="274" t="s">
        <v>1548</v>
      </c>
      <c r="B87" t="s">
        <v>1157</v>
      </c>
      <c r="C87">
        <v>6000</v>
      </c>
      <c r="D87" t="s">
        <v>22</v>
      </c>
      <c r="E87" t="s">
        <v>1490</v>
      </c>
    </row>
    <row r="88" spans="1:6" ht="15" x14ac:dyDescent="0.25">
      <c r="A88" s="274" t="s">
        <v>1557</v>
      </c>
      <c r="B88" t="s">
        <v>1558</v>
      </c>
      <c r="C88">
        <v>3000</v>
      </c>
      <c r="D88" t="s">
        <v>30</v>
      </c>
      <c r="E88" t="s">
        <v>47</v>
      </c>
      <c r="F88" t="s">
        <v>1198</v>
      </c>
    </row>
    <row r="89" spans="1:6" ht="15" x14ac:dyDescent="0.25">
      <c r="A89" s="274" t="s">
        <v>1559</v>
      </c>
      <c r="B89" t="s">
        <v>1560</v>
      </c>
      <c r="C89">
        <v>9600</v>
      </c>
      <c r="D89" t="s">
        <v>30</v>
      </c>
      <c r="E89" t="s">
        <v>47</v>
      </c>
      <c r="F89" t="s">
        <v>1198</v>
      </c>
    </row>
    <row r="90" spans="1:6" ht="15" x14ac:dyDescent="0.25">
      <c r="A90" s="274" t="s">
        <v>1559</v>
      </c>
      <c r="B90" t="s">
        <v>0</v>
      </c>
      <c r="C90">
        <v>42600</v>
      </c>
      <c r="D90" t="s">
        <v>30</v>
      </c>
      <c r="E90" t="s">
        <v>47</v>
      </c>
      <c r="F90" t="s">
        <v>1562</v>
      </c>
    </row>
    <row r="91" spans="1:6" ht="15" x14ac:dyDescent="0.25">
      <c r="A91" s="274" t="s">
        <v>1559</v>
      </c>
      <c r="B91" t="s">
        <v>1152</v>
      </c>
      <c r="C91">
        <v>5350</v>
      </c>
      <c r="D91" t="s">
        <v>30</v>
      </c>
      <c r="E91" t="s">
        <v>47</v>
      </c>
      <c r="F91" t="s">
        <v>1198</v>
      </c>
    </row>
    <row r="92" spans="1:6" ht="15" x14ac:dyDescent="0.25">
      <c r="A92" s="274" t="s">
        <v>1559</v>
      </c>
      <c r="B92" t="s">
        <v>1563</v>
      </c>
      <c r="C92">
        <v>1000</v>
      </c>
      <c r="D92" t="s">
        <v>30</v>
      </c>
      <c r="E92" t="s">
        <v>47</v>
      </c>
      <c r="F92" t="s">
        <v>1564</v>
      </c>
    </row>
    <row r="93" spans="1:6" ht="15" x14ac:dyDescent="0.25">
      <c r="A93" s="274" t="s">
        <v>1559</v>
      </c>
      <c r="B93" t="s">
        <v>1565</v>
      </c>
      <c r="C93">
        <v>6800</v>
      </c>
      <c r="D93" t="s">
        <v>30</v>
      </c>
      <c r="E93" t="s">
        <v>1490</v>
      </c>
      <c r="F93" t="s">
        <v>1566</v>
      </c>
    </row>
    <row r="94" spans="1:6" ht="15" x14ac:dyDescent="0.25">
      <c r="A94" s="274" t="s">
        <v>1574</v>
      </c>
      <c r="B94" t="s">
        <v>1575</v>
      </c>
      <c r="C94">
        <v>20880</v>
      </c>
      <c r="F94" t="s">
        <v>1065</v>
      </c>
    </row>
    <row r="95" spans="1:6" ht="15" x14ac:dyDescent="0.25">
      <c r="A95" s="274" t="s">
        <v>1572</v>
      </c>
      <c r="B95" t="s">
        <v>1573</v>
      </c>
      <c r="C95">
        <v>10000</v>
      </c>
      <c r="D95" t="s">
        <v>30</v>
      </c>
      <c r="E95" t="s">
        <v>47</v>
      </c>
      <c r="F95" t="s">
        <v>1198</v>
      </c>
    </row>
    <row r="96" spans="1:6" ht="15" x14ac:dyDescent="0.25">
      <c r="A96" s="274" t="s">
        <v>1572</v>
      </c>
      <c r="B96" t="s">
        <v>1647</v>
      </c>
      <c r="C96">
        <v>1800</v>
      </c>
      <c r="D96" t="s">
        <v>30</v>
      </c>
      <c r="E96" t="s">
        <v>439</v>
      </c>
      <c r="F96" t="s">
        <v>1648</v>
      </c>
    </row>
    <row r="97" spans="1:6" ht="15" x14ac:dyDescent="0.25">
      <c r="A97" s="274" t="s">
        <v>1572</v>
      </c>
      <c r="B97" t="s">
        <v>1649</v>
      </c>
      <c r="C97">
        <v>4200</v>
      </c>
      <c r="D97" t="s">
        <v>30</v>
      </c>
      <c r="E97" t="s">
        <v>47</v>
      </c>
      <c r="F97" t="s">
        <v>1198</v>
      </c>
    </row>
    <row r="98" spans="1:6" ht="15" x14ac:dyDescent="0.25">
      <c r="A98" s="274" t="s">
        <v>1572</v>
      </c>
      <c r="B98" t="s">
        <v>1650</v>
      </c>
      <c r="C98">
        <v>2200</v>
      </c>
      <c r="D98" t="s">
        <v>30</v>
      </c>
      <c r="E98" t="s">
        <v>47</v>
      </c>
      <c r="F98" t="s">
        <v>1198</v>
      </c>
    </row>
    <row r="99" spans="1:6" ht="15" x14ac:dyDescent="0.25">
      <c r="A99" s="274" t="s">
        <v>1748</v>
      </c>
      <c r="B99" t="s">
        <v>1201</v>
      </c>
      <c r="C99">
        <v>2000</v>
      </c>
      <c r="D99" t="s">
        <v>30</v>
      </c>
      <c r="E99" t="s">
        <v>439</v>
      </c>
      <c r="F99" t="s">
        <v>1201</v>
      </c>
    </row>
    <row r="100" spans="1:6" ht="15" x14ac:dyDescent="0.25">
      <c r="A100" s="274" t="s">
        <v>1651</v>
      </c>
      <c r="B100" t="s">
        <v>1652</v>
      </c>
      <c r="C100">
        <v>6000</v>
      </c>
      <c r="D100" t="s">
        <v>30</v>
      </c>
      <c r="E100" t="s">
        <v>47</v>
      </c>
      <c r="F100" t="s">
        <v>1198</v>
      </c>
    </row>
    <row r="101" spans="1:6" ht="15" x14ac:dyDescent="0.25">
      <c r="A101" s="274" t="s">
        <v>1747</v>
      </c>
      <c r="B101" t="s">
        <v>1749</v>
      </c>
      <c r="C101">
        <v>4000</v>
      </c>
      <c r="D101" t="s">
        <v>30</v>
      </c>
      <c r="E101" t="s">
        <v>47</v>
      </c>
    </row>
    <row r="102" spans="1:6" ht="15" x14ac:dyDescent="0.25">
      <c r="A102" s="274" t="s">
        <v>1747</v>
      </c>
      <c r="B102" t="s">
        <v>1750</v>
      </c>
      <c r="C102">
        <v>2000</v>
      </c>
      <c r="D102" t="s">
        <v>30</v>
      </c>
      <c r="E102" t="s">
        <v>47</v>
      </c>
    </row>
  </sheetData>
  <autoFilter ref="A1:G42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March 25</vt:lpstr>
      <vt:lpstr>April 25</vt:lpstr>
      <vt:lpstr>May 25</vt:lpstr>
      <vt:lpstr>June 25</vt:lpstr>
      <vt:lpstr>July 2025</vt:lpstr>
      <vt:lpstr>Aug 25</vt:lpstr>
      <vt:lpstr>Sep 25</vt:lpstr>
      <vt:lpstr>Oct 25</vt:lpstr>
      <vt:lpstr>Nov 25</vt:lpstr>
      <vt:lpstr>dec 25</vt:lpstr>
      <vt:lpstr>Jan 2026</vt:lpstr>
      <vt:lpstr>Feb 26</vt:lpstr>
      <vt:lpstr>Mar 26</vt:lpstr>
      <vt:lpstr>April26</vt:lpstr>
      <vt:lpstr>MAY26</vt:lpstr>
      <vt:lpstr>June 26</vt:lpstr>
      <vt:lpstr>July 26</vt:lpstr>
      <vt:lpstr>IN-OUT</vt:lpstr>
      <vt:lpstr>Payment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2026-07-18T05:12:03Z</dcterms:modified>
</cp:coreProperties>
</file>